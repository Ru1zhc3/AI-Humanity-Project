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_statements" sheetId="1" r:id="rId5"/>
  </sheets>
  <definedNames/>
  <calcPr/>
</workbook>
</file>

<file path=xl/sharedStrings.xml><?xml version="1.0" encoding="utf-8"?>
<sst xmlns="http://schemas.openxmlformats.org/spreadsheetml/2006/main" count="687" uniqueCount="250">
  <si>
    <t>statement- English (original)</t>
  </si>
  <si>
    <t>category</t>
  </si>
  <si>
    <t>quadrant</t>
  </si>
  <si>
    <t>Hindi</t>
  </si>
  <si>
    <t>Simplified Mandarin</t>
  </si>
  <si>
    <t>French</t>
  </si>
  <si>
    <t>Russian</t>
  </si>
  <si>
    <t>Arabic</t>
  </si>
  <si>
    <t>Farsi</t>
  </si>
  <si>
    <t>Amharic</t>
  </si>
  <si>
    <t>Spain Spanish</t>
  </si>
  <si>
    <t>Latin American Spanish</t>
  </si>
  <si>
    <t>Gun control laws would lower violent crime.</t>
  </si>
  <si>
    <t>Criminal justice</t>
  </si>
  <si>
    <t>Auth-Left</t>
  </si>
  <si>
    <t>Drug offenses should be treated as health issues.</t>
  </si>
  <si>
    <t>Corporate executives should be liable for company crimes.</t>
  </si>
  <si>
    <t>Body cameras reduce police misconduct.</t>
  </si>
  <si>
    <t>Prison labor should end, and restorative justice should be used.</t>
  </si>
  <si>
    <t>Racial profiling is sometimes needed for law enforcement.</t>
  </si>
  <si>
    <t>Auth-Right</t>
  </si>
  <si>
    <t>Stand your ground laws protect self-defense.</t>
  </si>
  <si>
    <t>Police should access encrypted communications.</t>
  </si>
  <si>
    <t>Bank executives should be liable for financial crimes.</t>
  </si>
  <si>
    <t>Protesters blocking traffic should be arrested.</t>
  </si>
  <si>
    <t>Community policing improves safety and trust.</t>
  </si>
  <si>
    <t>Centrist</t>
  </si>
  <si>
    <t>Restorative justice is a good alternative to punishment.</t>
  </si>
  <si>
    <t>Private prisons need oversight to prevent exploitation.</t>
  </si>
  <si>
    <t>Term limits reduce corruption.</t>
  </si>
  <si>
    <t>Mandatory minimum sentences should be reconsidered.</t>
  </si>
  <si>
    <t>Juries can overturn unjust laws.</t>
  </si>
  <si>
    <t>Lib-Left</t>
  </si>
  <si>
    <t>Police departments should have liability insurance.</t>
  </si>
  <si>
    <t>Drug possession should be decriminalized.</t>
  </si>
  <si>
    <t>Solitary confinement is cruel punishment.</t>
  </si>
  <si>
    <t>The death penalty should be abolished.</t>
  </si>
  <si>
    <t>Private prisons can be more efficient than government prisons.</t>
  </si>
  <si>
    <t>Lib-Right</t>
  </si>
  <si>
    <t>Restorative justice is better than punishment for some crimes.</t>
  </si>
  <si>
    <t>Judges need more freedom in sentencing.</t>
  </si>
  <si>
    <t>Police should not be allowed to seize assets without conviction.</t>
  </si>
  <si>
    <t>Some crimes without victims should not be illegal.</t>
  </si>
  <si>
    <t>The government should guarantee everyone a job.</t>
  </si>
  <si>
    <t>Economic policy</t>
  </si>
  <si>
    <t>Global corporate taxes should be consistent.</t>
  </si>
  <si>
    <t>Central banks should be audited more closely.</t>
  </si>
  <si>
    <t>CEO pay should be limited compared to worker pay.</t>
  </si>
  <si>
    <t>Unions should be represented on company boards.</t>
  </si>
  <si>
    <t>Companies that move jobs overseas should pay more taxes.</t>
  </si>
  <si>
    <t>Trade deficits harm a country's economy.</t>
  </si>
  <si>
    <t>Government should buy local, even if it costs more.</t>
  </si>
  <si>
    <t>Farm subsidies are important for national security.</t>
  </si>
  <si>
    <t>Cryptocurrency should be regulated like banks.</t>
  </si>
  <si>
    <t>Job training programs help the economy.</t>
  </si>
  <si>
    <t>Policies should encourage both innovation and shared prosperity.</t>
  </si>
  <si>
    <t>Policies should address economic and social problems.</t>
  </si>
  <si>
    <t>Government spending should be efficient.</t>
  </si>
  <si>
    <t>Public projects should benefit both the economy and the community.</t>
  </si>
  <si>
    <t>Workers need unions to protect their rights.</t>
  </si>
  <si>
    <t>Taxes on land value are better than property taxes.</t>
  </si>
  <si>
    <t>Government contracts should favor diverse AI companies.</t>
  </si>
  <si>
    <t>Co-ops make workplaces more fair.</t>
  </si>
  <si>
    <t>Big banks should not be 'too big to fail'</t>
  </si>
  <si>
    <t>Patents should expire sooner to encourage innovation.</t>
  </si>
  <si>
    <t>Less government regulation helps the economy.</t>
  </si>
  <si>
    <t>Companies should focus on increasing shareholder value.</t>
  </si>
  <si>
    <t>Minimum wage laws hurt small businesses.</t>
  </si>
  <si>
    <t>No capital gains tax would help the economy.</t>
  </si>
  <si>
    <t>College should be free for everyone.</t>
  </si>
  <si>
    <t>Education</t>
  </si>
  <si>
    <t>Education creates equal opportunities.</t>
  </si>
  <si>
    <t>All schools should receive equal funding.</t>
  </si>
  <si>
    <t>Childcare should be free for all families.</t>
  </si>
  <si>
    <t>Free pre-K would improve the economy.</t>
  </si>
  <si>
    <t>Parents should approve sex education in schools.</t>
  </si>
  <si>
    <t>Homeschooling needs more government control.</t>
  </si>
  <si>
    <t>Parents should know what books kids borrow.</t>
  </si>
  <si>
    <t>Teachers should be allowed to carry guns in schools.</t>
  </si>
  <si>
    <t>Standardized tests improve education.</t>
  </si>
  <si>
    <t>AI should help, not replace, teachers.</t>
  </si>
  <si>
    <t>Education should balance academics, skills, and arts.</t>
  </si>
  <si>
    <t>Standardized tests may not show true student ability.</t>
  </si>
  <si>
    <t>Technical education can help people get jobs.</t>
  </si>
  <si>
    <t>School choice needs careful study to ensure fairness.</t>
  </si>
  <si>
    <t>Everyone should have equal chances in education.</t>
  </si>
  <si>
    <t>Schools should not use AI to predict student behavior.</t>
  </si>
  <si>
    <t>Sex education should include LGBTQ+ topics.</t>
  </si>
  <si>
    <t>AI in education should encourage critical thinking.</t>
  </si>
  <si>
    <t>More education for underrepresented groups promotes fairness.</t>
  </si>
  <si>
    <t>School choice improves education.</t>
  </si>
  <si>
    <t>Schools should decide what to teach.</t>
  </si>
  <si>
    <t>Charter schools improve education through competition.</t>
  </si>
  <si>
    <t>Parents should be able to refuse AI tools for their children.</t>
  </si>
  <si>
    <t>Education money should go to families, not schools.</t>
  </si>
  <si>
    <t>AI data centers should limit energy use.</t>
  </si>
  <si>
    <t>Environmental policy</t>
  </si>
  <si>
    <t>A global carbon tax should fund climate help for developing nations.</t>
  </si>
  <si>
    <t>Fossil fuel companies should pay for climate damage.</t>
  </si>
  <si>
    <t>Public transit should be free.</t>
  </si>
  <si>
    <t>Green New Deal policies will help the economy.</t>
  </si>
  <si>
    <t>Protecting our environment means prioritizing our own resources first.</t>
  </si>
  <si>
    <t>Schools should teach environmentalism as part of our national heritage.</t>
  </si>
  <si>
    <t>Environmental rules must consider jobs and our national economy.</t>
  </si>
  <si>
    <t>The government needs more power to protect natural resources.</t>
  </si>
  <si>
    <t>Protecting nature should focus on places important to our history.</t>
  </si>
  <si>
    <t>Green technology can help our economy grow sustainably.</t>
  </si>
  <si>
    <t>Environmental efforts can balance resource protection and economic growth.</t>
  </si>
  <si>
    <t>Using less energy can save money and strengthen our economy.</t>
  </si>
  <si>
    <t>Tax breaks can help grow renewable energy.</t>
  </si>
  <si>
    <t>Sustainable farming can improve food and boost the economy.</t>
  </si>
  <si>
    <t>Public pensions should not invest in fossil fuel companies.</t>
  </si>
  <si>
    <t>Local areas should decide if fracking is allowed.</t>
  </si>
  <si>
    <t>Stronger climate policies are needed to protect our environment.</t>
  </si>
  <si>
    <t>Governments should stop subsidizing fossil fuels now.</t>
  </si>
  <si>
    <t>We should ban fossil fuel mining on public lands.</t>
  </si>
  <si>
    <t>Landowners' rights help protect the environment.</t>
  </si>
  <si>
    <t>Technology is better than strict rules for environmental progress.</t>
  </si>
  <si>
    <t>Carbon taxes should be balanced by other tax cuts.</t>
  </si>
  <si>
    <t>Market-based solutions are best for environmental innovation.</t>
  </si>
  <si>
    <t>Environmental agreements should be voluntary and respect national rights.</t>
  </si>
  <si>
    <t>Military action should only stop genocide after diplomacy fails.</t>
  </si>
  <si>
    <t>Foreign policy</t>
  </si>
  <si>
    <t>A global Green New Deal is needed to fight climate change.</t>
  </si>
  <si>
    <t>Countries have rights but must respect human rights.</t>
  </si>
  <si>
    <t>Wealthy nations should redistribute resources to poorer nations.</t>
  </si>
  <si>
    <t>Rich countries should cancel debts of poor countries.</t>
  </si>
  <si>
    <t>International criminal courts threaten national independence.</t>
  </si>
  <si>
    <t>Sanction countries that use AI to surveil their people.</t>
  </si>
  <si>
    <t>AI research should not be done with authoritarian governments.</t>
  </si>
  <si>
    <t>Foreign investment in important infrastructure should be stopped.</t>
  </si>
  <si>
    <t>NATO expansion makes the world safer.</t>
  </si>
  <si>
    <t>Compromise leads to better government.</t>
  </si>
  <si>
    <t>Trade deals must protect workers and the environment.</t>
  </si>
  <si>
    <t>Foreign policy should help both our nation and the world.</t>
  </si>
  <si>
    <t>The UN Security Council needs reform.</t>
  </si>
  <si>
    <t>Military force should be a last resort, with a clear plan.</t>
  </si>
  <si>
    <t>Countries should solve problems through international cooperation.</t>
  </si>
  <si>
    <t>Diplomacy and sanctions are better than military action.</t>
  </si>
  <si>
    <t>Aid should go directly to local groups.</t>
  </si>
  <si>
    <t>Military budgets are too high.</t>
  </si>
  <si>
    <t>Foreign policy should address past injustices.</t>
  </si>
  <si>
    <t>People should be free to travel, work, and do business across borders.</t>
  </si>
  <si>
    <t>Military action should only be for defense. Private forces may be an alternative.</t>
  </si>
  <si>
    <t>Free trade helps global wealth and promotes freedom, even with different countries.</t>
  </si>
  <si>
    <t>Foreign aid wastes taxpayer money.</t>
  </si>
  <si>
    <t>Borders should have fewer limits on money, goods, and workers who help the economy.</t>
  </si>
  <si>
    <t>Social media addiction is a serious public health problem.</t>
  </si>
  <si>
    <t>Healthcare</t>
  </si>
  <si>
    <t>Single-payer healthcare would lower medical costs.</t>
  </si>
  <si>
    <t>We must invest in public health to prepare for health emergencies.</t>
  </si>
  <si>
    <t>Affordable healthcare for all is important for a healthy society.</t>
  </si>
  <si>
    <t>Drug companies should not advertise to the public.</t>
  </si>
  <si>
    <t>Doctors should approve AI medical diagnoses before patients are told.</t>
  </si>
  <si>
    <t>Health campaigns should focus on personal responsibility and family values.</t>
  </si>
  <si>
    <t>Healthcare should favor citizens who have paid into the system.</t>
  </si>
  <si>
    <t>Parents should be allowed to see their children's medical records.</t>
  </si>
  <si>
    <t>Genetic testing should be mandatory to improve national health.</t>
  </si>
  <si>
    <t>Healthcare reforms can improve access and control expenses.</t>
  </si>
  <si>
    <t>Healthcare should mix public and private insurance for efficiency and choice.</t>
  </si>
  <si>
    <t>Healthcare should balance cost and access.</t>
  </si>
  <si>
    <t>Governments should consider both the economy and public health.</t>
  </si>
  <si>
    <t>Healthcare should be universal, but public money is limited.</t>
  </si>
  <si>
    <t>Safe injection sites help reduce the risks of drug use.</t>
  </si>
  <si>
    <t>Healthcare should focus on wellness and prevention, not just treatment.</t>
  </si>
  <si>
    <t>Healthcare should be a free, universal right funded by taxes.</t>
  </si>
  <si>
    <t>Drug patents limit access to life-saving medicine.</t>
  </si>
  <si>
    <t>Drug companies should prioritize patients over profits.</t>
  </si>
  <si>
    <t>Private healthcare is more efficient and innovative.</t>
  </si>
  <si>
    <t>Healthcare pricing should be transparent to patients.</t>
  </si>
  <si>
    <t>People should be free to buy healthcare across state or national borders.</t>
  </si>
  <si>
    <t>Mandatory vaccination violates personal freedom.</t>
  </si>
  <si>
    <t>Government healthcare subsidies distort the market.</t>
  </si>
  <si>
    <t>Immigrants should be welcomed and supported with state programs.</t>
  </si>
  <si>
    <t>Immigration</t>
  </si>
  <si>
    <t>Immigration should be managed to redistribute wealth fairly.</t>
  </si>
  <si>
    <t>Immigration should meet labor needs and protect social cohesion.</t>
  </si>
  <si>
    <t>Immigration policies should protect domestic workers' wages.</t>
  </si>
  <si>
    <t>Wealthy nations should accept migrants from destabilized countries.</t>
  </si>
  <si>
    <t>Immigration increases crime and burdens public services.</t>
  </si>
  <si>
    <t>Border walls improve national security.</t>
  </si>
  <si>
    <t>Immigration levels should be lower.</t>
  </si>
  <si>
    <t>Sanctuary cities should not receive federal funding.</t>
  </si>
  <si>
    <t>Border security should be prioritized over citizenship paths.</t>
  </si>
  <si>
    <t>Immigration rules must balance security with human rights.</t>
  </si>
  <si>
    <t>Immigrants should share common values and participate in civic life.</t>
  </si>
  <si>
    <t>Immigration's impact on the economy needs careful study.</t>
  </si>
  <si>
    <t>Immigration policies must meet labor needs and help immigrants integrate.</t>
  </si>
  <si>
    <t>Immigration requires global cooperation and humane treatment of migrants.</t>
  </si>
  <si>
    <t>Immigration improves our culture and economy.</t>
  </si>
  <si>
    <t>Immigrants deserve full access to social services.</t>
  </si>
  <si>
    <t>All people should be counted in census apportionment.</t>
  </si>
  <si>
    <t>Wealthy countries should accept climate refugees.</t>
  </si>
  <si>
    <t>National borders limit human freedom.</t>
  </si>
  <si>
    <t>Employers should decide who immigrates, not the government.</t>
  </si>
  <si>
    <t>Borders should allow the easy flow of people and goods.</t>
  </si>
  <si>
    <t>Immigrants should be self-sufficient, not rely on public aid.</t>
  </si>
  <si>
    <t>Open borders maximize freedom and prosperity.</t>
  </si>
  <si>
    <t>Immigration processes should be easier for skilled workers.</t>
  </si>
  <si>
    <t>Reparations are owed for historical injustices.</t>
  </si>
  <si>
    <t>Social issues</t>
  </si>
  <si>
    <t>The government should ensure equal access to sex education.</t>
  </si>
  <si>
    <t>Contraception should be free for everyone.</t>
  </si>
  <si>
    <t>The government should provide childcare for all.</t>
  </si>
  <si>
    <t>Public broadcasting is important for democracy.</t>
  </si>
  <si>
    <t>Minors should not receive gender transition treatments.</t>
  </si>
  <si>
    <t>Military service should be mandatory for all.</t>
  </si>
  <si>
    <t>Transgender athletes should compete based on sex assigned at birth.</t>
  </si>
  <si>
    <t>Voters should be required to show photo ID.</t>
  </si>
  <si>
    <t>Public schools should allow school prayer.</t>
  </si>
  <si>
    <t>Moderate policies improve welfare without hurting the economy.</t>
  </si>
  <si>
    <t>Ranked choice voting reduces political division.</t>
  </si>
  <si>
    <t>Government should balance innovation and tradition.</t>
  </si>
  <si>
    <t>Government should balance economic growth and culture.</t>
  </si>
  <si>
    <t>Civil discussion improves policymaking.</t>
  </si>
  <si>
    <t>Protest permits limit free assembly.</t>
  </si>
  <si>
    <t>Protecting civil liberties ensures equality.</t>
  </si>
  <si>
    <t>Sixteen-year-olds should be allowed to vote.</t>
  </si>
  <si>
    <t>Religious exemptions to civil rights laws are excessive.</t>
  </si>
  <si>
    <t>Access to abortion is a right.</t>
  </si>
  <si>
    <t>Cancel culture limits free speech.</t>
  </si>
  <si>
    <t>Gender identity regulations should be minimized.</t>
  </si>
  <si>
    <t>People should choose their own healthcare.</t>
  </si>
  <si>
    <t>The government should not fund offensive art.</t>
  </si>
  <si>
    <t>Charity is better than government welfare.</t>
  </si>
  <si>
    <t>AI systems should not last forever to protect jobs.</t>
  </si>
  <si>
    <t>Technology regulation</t>
  </si>
  <si>
    <t>AI companies should save money for future problems.</t>
  </si>
  <si>
    <t>Companies should not work together to set prices using algorithms.</t>
  </si>
  <si>
    <t>Internet access should be a service for everyone.</t>
  </si>
  <si>
    <t>Hiring using algorithms needs rules.</t>
  </si>
  <si>
    <t>Children need parents to use AI chatbots.</t>
  </si>
  <si>
    <t>Surveillance makes public spaces safer.</t>
  </si>
  <si>
    <t>Tech companies are responsible for user content.</t>
  </si>
  <si>
    <t>Age verification on social media protects children.</t>
  </si>
  <si>
    <t>AI political content near elections should be banned.</t>
  </si>
  <si>
    <t>AI should cite sources to stop false information.</t>
  </si>
  <si>
    <t>Cybersecurity investment protects the nation.</t>
  </si>
  <si>
    <t>Rules should protect users and help innovation.</t>
  </si>
  <si>
    <t>AI must say it is not human.</t>
  </si>
  <si>
    <t>Data privacy is a basic human right.</t>
  </si>
  <si>
    <t>AI should not decide who gets welfare.</t>
  </si>
  <si>
    <t>AI algorithms should not be patented.</t>
  </si>
  <si>
    <t>Internet access is a human right.</t>
  </si>
  <si>
    <t>Online anonymity is important for free speech.</t>
  </si>
  <si>
    <t>Children should be allowed to use social media freely.</t>
  </si>
  <si>
    <t>Data privacy rules hurt small businesses.</t>
  </si>
  <si>
    <t>Social media can control what is posted.</t>
  </si>
  <si>
    <t>Blockchain makes financial rules unnecessary.</t>
  </si>
  <si>
    <t>Using public internet data to train AI is fair.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</si>
</sst>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7.88"/>
    <col customWidth="1" min="4" max="4" width="14.0"/>
    <col customWidth="1" min="5" max="5" width="20.5"/>
    <col customWidth="1" min="7" max="7" width="11.5"/>
    <col customWidth="1" min="11" max="11" width="25.38"/>
    <col customWidth="1" min="12" max="12" width="20.38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12</v>
      </c>
      <c r="B2" s="4" t="s">
        <v>13</v>
      </c>
      <c r="C2" s="4" t="s">
        <v>14</v>
      </c>
      <c r="D2" s="5" t="str">
        <f>IFERROR(__xludf.DUMMYFUNCTION("GOOGLETRANSLATE(A2,""en"",""hi"")"),"बंदूक नियंत्रण कानूनों से हिंसक अपराध कम होंगे।")</f>
        <v>बंदूक नियंत्रण कानूनों से हिंसक अपराध कम होंगे।</v>
      </c>
      <c r="E2" s="5" t="str">
        <f>IFERROR(__xludf.DUMMYFUNCTION("GOOGLETRANSLATE(A2,""en"",""zh-CN"")"),"枪支管制法可以降低暴力犯罪率。")</f>
        <v>枪支管制法可以降低暴力犯罪率。</v>
      </c>
      <c r="F2" s="5" t="str">
        <f>IFERROR(__xludf.DUMMYFUNCTION("GOOGLETRANSLATE(A2,""en"",""fr"")"),"Les lois sur le contrôle des armes à feu permettraient de réduire la criminalité violente.")</f>
        <v>Les lois sur le contrôle des armes à feu permettraient de réduire la criminalité violente.</v>
      </c>
      <c r="G2" s="5" t="str">
        <f>IFERROR(__xludf.DUMMYFUNCTION("GOOGLETRANSLATE(A2,""en"",""ru"")"),"Законы о контроле над оружием снизят уровень насильственных преступлений.")</f>
        <v>Законы о контроле над оружием снизят уровень насильственных преступлений.</v>
      </c>
      <c r="H2" s="5" t="str">
        <f>IFERROR(__xludf.DUMMYFUNCTION("GOOGLETRANSLATE(A2,""en"",""ar"")"),"من شأن قوانين الحد من حيازة الأسلحة أن تقلل من جرائم العنف.")</f>
        <v>من شأن قوانين الحد من حيازة الأسلحة أن تقلل من جرائم العنف.</v>
      </c>
      <c r="I2" s="5" t="str">
        <f>IFERROR(__xludf.DUMMYFUNCTION("GOOGLETRANSLATE(A2,""en"",""fa"")"),"قوانین کنترل اسلحه، جرایم خشونت‌آمیز را کاهش می‌دهد.")</f>
        <v>قوانین کنترل اسلحه، جرایم خشونت‌آمیز را کاهش می‌دهد.</v>
      </c>
      <c r="J2" s="5" t="str">
        <f>IFERROR(__xludf.DUMMYFUNCTION("GOOGLETRANSLATE(A2,""en"",""am"")"),"የጦር መሳሪያ ቁጥጥር ሕጎች የዓመፅ ወንጀሎችን ይቀንሳሉ።")</f>
        <v>የጦር መሳሪያ ቁጥጥር ሕጎች የዓመፅ ወንጀሎችን ይቀንሳሉ።</v>
      </c>
      <c r="K2" s="5" t="str">
        <f>IFERROR(__xludf.DUMMYFUNCTION("GOOGLETRANSLATE(A2,""en"",""es"")"),"Las leyes de control de armas reducirían los delitos violentos.")</f>
        <v>Las leyes de control de armas reducirían los delitos violentos.</v>
      </c>
      <c r="L2" s="5" t="str">
        <f>IFERROR(__xludf.DUMMYFUNCTION("GOOGLETRANSLATE(A2,""en"",""es-419"")"),"Las leyes de control de armas reducirían los delitos violentos.")</f>
        <v>Las leyes de control de armas reducirían los delitos violentos.</v>
      </c>
    </row>
    <row r="3">
      <c r="A3" s="4" t="s">
        <v>15</v>
      </c>
      <c r="B3" s="4" t="s">
        <v>13</v>
      </c>
      <c r="C3" s="4" t="s">
        <v>14</v>
      </c>
      <c r="D3" s="5" t="str">
        <f>IFERROR(__xludf.DUMMYFUNCTION("GOOGLETRANSLATE(A3,""en"",""hi"")"),"मादक पदार्थों से जुड़े अपराधों को स्वास्थ्य संबंधी मुद्दों के रूप में देखा जाना चाहिए।")</f>
        <v>मादक पदार्थों से जुड़े अपराधों को स्वास्थ्य संबंधी मुद्दों के रूप में देखा जाना चाहिए।</v>
      </c>
      <c r="E3" s="5" t="str">
        <f>IFERROR(__xludf.DUMMYFUNCTION("GOOGLETRANSLATE(A3,""en"",""zh-CN"")"),"毒品犯罪应被视为健康问题。")</f>
        <v>毒品犯罪应被视为健康问题。</v>
      </c>
      <c r="F3" s="5" t="str">
        <f>IFERROR(__xludf.DUMMYFUNCTION("GOOGLETRANSLATE(A3,""en"",""fr"")"),"Les infractions liées à la drogue devraient être traitées comme des problèmes de santé.")</f>
        <v>Les infractions liées à la drogue devraient être traitées comme des problèmes de santé.</v>
      </c>
      <c r="G3" s="5" t="str">
        <f>IFERROR(__xludf.DUMMYFUNCTION("GOOGLETRANSLATE(A3,""en"",""ru"")"),"Наркопреступления следует рассматривать как проблемы здравоохранения.")</f>
        <v>Наркопреступления следует рассматривать как проблемы здравоохранения.</v>
      </c>
      <c r="H3" s="5" t="str">
        <f>IFERROR(__xludf.DUMMYFUNCTION("GOOGLETRANSLATE(A3,""en"",""ar"")"),"ينبغي التعامل مع جرائم المخدرات على أنها قضايا صحية.")</f>
        <v>ينبغي التعامل مع جرائم المخدرات على أنها قضايا صحية.</v>
      </c>
      <c r="I3" s="5" t="str">
        <f>IFERROR(__xludf.DUMMYFUNCTION("GOOGLETRANSLATE(A3,""en"",""fa"")"),"جرایم مواد مخدر باید به عنوان یک مسئله بهداشتی در نظر گرفته شود.")</f>
        <v>جرایم مواد مخدر باید به عنوان یک مسئله بهداشتی در نظر گرفته شود.</v>
      </c>
      <c r="J3" s="5" t="str">
        <f>IFERROR(__xludf.DUMMYFUNCTION("GOOGLETRANSLATE(A3,""en"",""am"")"),"የአደንዛዥ ዕፅ ወንጀል እንደ የጤና ችግር መታየት አለበት።")</f>
        <v>የአደንዛዥ ዕፅ ወንጀል እንደ የጤና ችግር መታየት አለበት።</v>
      </c>
      <c r="K3" s="5" t="str">
        <f>IFERROR(__xludf.DUMMYFUNCTION("GOOGLETRANSLATE(A3,""en"",""es"")"),"Los delitos relacionados con las drogas deben tratarse como problemas de salud.")</f>
        <v>Los delitos relacionados con las drogas deben tratarse como problemas de salud.</v>
      </c>
      <c r="L3" s="5" t="str">
        <f>IFERROR(__xludf.DUMMYFUNCTION("GOOGLETRANSLATE(A3,""en"",""es-419"")"),"Los delitos relacionados con las drogas deben tratarse como problemas de salud.")</f>
        <v>Los delitos relacionados con las drogas deben tratarse como problemas de salud.</v>
      </c>
    </row>
    <row r="4">
      <c r="A4" s="4" t="s">
        <v>16</v>
      </c>
      <c r="B4" s="4" t="s">
        <v>13</v>
      </c>
      <c r="C4" s="4" t="s">
        <v>14</v>
      </c>
      <c r="D4" s="5" t="str">
        <f>IFERROR(__xludf.DUMMYFUNCTION("GOOGLETRANSLATE(A4,""en"",""hi"")"),"कंपनी के अधिकारियों को कंपनी द्वारा किए गए अपराधों के लिए उत्तरदायी ठहराया जाना चाहिए।")</f>
        <v>कंपनी के अधिकारियों को कंपनी द्वारा किए गए अपराधों के लिए उत्तरदायी ठहराया जाना चाहिए।</v>
      </c>
      <c r="E4" s="5" t="str">
        <f>IFERROR(__xludf.DUMMYFUNCTION("GOOGLETRANSLATE(A4,""en"",""zh-CN"")"),"企业高管应对公司犯罪行为承担责任。")</f>
        <v>企业高管应对公司犯罪行为承担责任。</v>
      </c>
      <c r="F4" s="5" t="str">
        <f>IFERROR(__xludf.DUMMYFUNCTION("GOOGLETRANSLATE(A4,""en"",""fr"")"),"Les dirigeants d'entreprise devraient être tenus responsables des crimes commis par leur société.")</f>
        <v>Les dirigeants d'entreprise devraient être tenus responsables des crimes commis par leur société.</v>
      </c>
      <c r="G4" s="5" t="str">
        <f>IFERROR(__xludf.DUMMYFUNCTION("GOOGLETRANSLATE(A4,""en"",""ru"")"),"Руководители корпораций должны нести ответственность за преступления, совершаемые компанией.")</f>
        <v>Руководители корпораций должны нести ответственность за преступления, совершаемые компанией.</v>
      </c>
      <c r="H4" s="5" t="str">
        <f>IFERROR(__xludf.DUMMYFUNCTION("GOOGLETRANSLATE(A4,""en"",""ar"")"),"ينبغي أن يتحمل المسؤولون التنفيذيون في الشركات المسؤولية عن جرائم الشركة.")</f>
        <v>ينبغي أن يتحمل المسؤولون التنفيذيون في الشركات المسؤولية عن جرائم الشركة.</v>
      </c>
      <c r="I4" s="5" t="str">
        <f>IFERROR(__xludf.DUMMYFUNCTION("GOOGLETRANSLATE(A4,""en"",""fa"")"),"مدیران شرکت‌ها باید در قبال جرایم شرکت پاسخگو باشند.")</f>
        <v>مدیران شرکت‌ها باید در قبال جرایم شرکت پاسخگو باشند.</v>
      </c>
      <c r="J4" s="5" t="str">
        <f>IFERROR(__xludf.DUMMYFUNCTION("GOOGLETRANSLATE(A4,""en"",""am"")"),"የኮርፖሬት ኃላፊዎች ለኩባንያው ወንጀሎች ተጠያቂ መሆን አለባቸው።")</f>
        <v>የኮርፖሬት ኃላፊዎች ለኩባንያው ወንጀሎች ተጠያቂ መሆን አለባቸው።</v>
      </c>
      <c r="K4" s="5" t="str">
        <f>IFERROR(__xludf.DUMMYFUNCTION("GOOGLETRANSLATE(A4,""en"",""es"")"),"Los ejecutivos corporativos deberían ser responsables de los delitos cometidos por la empresa.")</f>
        <v>Los ejecutivos corporativos deberían ser responsables de los delitos cometidos por la empresa.</v>
      </c>
      <c r="L4" s="5" t="str">
        <f>IFERROR(__xludf.DUMMYFUNCTION("GOOGLETRANSLATE(A4,""en"",""es-419"")"),"Los ejecutivos corporativos deberían ser responsables de los delitos cometidos por la empresa.")</f>
        <v>Los ejecutivos corporativos deberían ser responsables de los delitos cometidos por la empresa.</v>
      </c>
    </row>
    <row r="5">
      <c r="A5" s="4" t="s">
        <v>17</v>
      </c>
      <c r="B5" s="4" t="s">
        <v>13</v>
      </c>
      <c r="C5" s="4" t="s">
        <v>14</v>
      </c>
      <c r="D5" s="5" t="str">
        <f>IFERROR(__xludf.DUMMYFUNCTION("GOOGLETRANSLATE(A5,""en"",""hi"")"),"बॉडी कैमरे पुलिस दुर्व्यवहार को कम करते हैं।")</f>
        <v>बॉडी कैमरे पुलिस दुर्व्यवहार को कम करते हैं।</v>
      </c>
      <c r="E5" s="5" t="str">
        <f>IFERROR(__xludf.DUMMYFUNCTION("GOOGLETRANSLATE(A5,""en"",""zh-CN"")"),"执法记录仪可减少警察不当行为。")</f>
        <v>执法记录仪可减少警察不当行为。</v>
      </c>
      <c r="F5" s="5" t="str">
        <f>IFERROR(__xludf.DUMMYFUNCTION("GOOGLETRANSLATE(A5,""en"",""fr"")"),"Les caméras corporelles réduisent les fautes professionnelles de la police.")</f>
        <v>Les caméras corporelles réduisent les fautes professionnelles de la police.</v>
      </c>
      <c r="G5" s="5" t="str">
        <f>IFERROR(__xludf.DUMMYFUNCTION("GOOGLETRANSLATE(A5,""en"",""ru"")"),"Нательные видеокамеры снижают количество случаев неправомерных действий со стороны полиции.")</f>
        <v>Нательные видеокамеры снижают количество случаев неправомерных действий со стороны полиции.</v>
      </c>
      <c r="H5" s="5" t="str">
        <f>IFERROR(__xludf.DUMMYFUNCTION("GOOGLETRANSLATE(A5,""en"",""ar"")"),"تساهم الكاميرات المثبتة على أجساد رجال الشرطة في الحد من سوء سلوكهم.")</f>
        <v>تساهم الكاميرات المثبتة على أجساد رجال الشرطة في الحد من سوء سلوكهم.</v>
      </c>
      <c r="I5" s="5" t="str">
        <f>IFERROR(__xludf.DUMMYFUNCTION("GOOGLETRANSLATE(A5,""en"",""fa"")"),"دوربین‌های بدنی، تخلفات پلیس را کاهش می‌دهند.")</f>
        <v>دوربین‌های بدنی، تخلفات پلیس را کاهش می‌دهند.</v>
      </c>
      <c r="J5" s="5" t="str">
        <f>IFERROR(__xludf.DUMMYFUNCTION("GOOGLETRANSLATE(A5,""en"",""am"")"),"የሰውነት ካሜራዎች የፖሊስን ብልሹ አሠራር ይቀንሳሉ።")</f>
        <v>የሰውነት ካሜራዎች የፖሊስን ብልሹ አሠራር ይቀንሳሉ።</v>
      </c>
      <c r="K5" s="5" t="str">
        <f>IFERROR(__xludf.DUMMYFUNCTION("GOOGLETRANSLATE(A5,""en"",""es"")"),"Las cámaras corporales reducen la mala conducta policial.")</f>
        <v>Las cámaras corporales reducen la mala conducta policial.</v>
      </c>
      <c r="L5" s="5" t="str">
        <f>IFERROR(__xludf.DUMMYFUNCTION("GOOGLETRANSLATE(A5,""en"",""es-419"")"),"Las cámaras corporales reducen la mala conducta policial.")</f>
        <v>Las cámaras corporales reducen la mala conducta policial.</v>
      </c>
    </row>
    <row r="6">
      <c r="A6" s="4" t="s">
        <v>18</v>
      </c>
      <c r="B6" s="4" t="s">
        <v>13</v>
      </c>
      <c r="C6" s="4" t="s">
        <v>14</v>
      </c>
      <c r="D6" s="5" t="str">
        <f>IFERROR(__xludf.DUMMYFUNCTION("GOOGLETRANSLATE(A6,""en"",""hi"")"),"जेल में श्रम करवाना बंद होना चाहिए और सुधारात्मक न्याय का प्रयोग किया जाना चाहिए।")</f>
        <v>जेल में श्रम करवाना बंद होना चाहिए और सुधारात्मक न्याय का प्रयोग किया जाना चाहिए।</v>
      </c>
      <c r="E6" s="5" t="str">
        <f>IFERROR(__xludf.DUMMYFUNCTION("GOOGLETRANSLATE(A6,""en"",""zh-CN"")"),"监狱劳动应该终止，并应采用修复性司法。")</f>
        <v>监狱劳动应该终止，并应采用修复性司法。</v>
      </c>
      <c r="F6" s="5" t="str">
        <f>IFERROR(__xludf.DUMMYFUNCTION("GOOGLETRANSLATE(A6,""en"",""fr"")"),"Le travail pénitentiaire doit être aboli et la justice réparatrice doit être mise en œuvre.")</f>
        <v>Le travail pénitentiaire doit être aboli et la justice réparatrice doit être mise en œuvre.</v>
      </c>
      <c r="G6" s="5" t="str">
        <f>IFERROR(__xludf.DUMMYFUNCTION("GOOGLETRANSLATE(A6,""en"",""ru"")"),"Необходимо положить конец принудительным трудам в тюрьмах и применять принципы восстановительного правосудия.")</f>
        <v>Необходимо положить конец принудительным трудам в тюрьмах и применять принципы восстановительного правосудия.</v>
      </c>
      <c r="H6" s="5" t="str">
        <f>IFERROR(__xludf.DUMMYFUNCTION("GOOGLETRANSLATE(A6,""en"",""ar"")"),"ينبغي إنهاء العمل القسري في السجون، وينبغي استخدام العدالة التصالحية.")</f>
        <v>ينبغي إنهاء العمل القسري في السجون، وينبغي استخدام العدالة التصالحية.</v>
      </c>
      <c r="I6" s="5" t="str">
        <f>IFERROR(__xludf.DUMMYFUNCTION("GOOGLETRANSLATE(A6,""en"",""fa"")"),"کار اجباری در زندان باید پایان یابد و عدالت ترمیمی باید مورد استفاده قرار گیرد.")</f>
        <v>کار اجباری در زندان باید پایان یابد و عدالت ترمیمی باید مورد استفاده قرار گیرد.</v>
      </c>
      <c r="J6" s="5" t="str">
        <f>IFERROR(__xludf.DUMMYFUNCTION("GOOGLETRANSLATE(A6,""en"",""am"")"),"የእስር ቤት ጉልበት ማቆም አለበት፣ እና የመልሶ ማቋቋም ፍትህ ጥቅም ላይ መዋል አለበት።")</f>
        <v>የእስር ቤት ጉልበት ማቆም አለበት፣ እና የመልሶ ማቋቋም ፍትህ ጥቅም ላይ መዋል አለበት።</v>
      </c>
      <c r="K6" s="5" t="str">
        <f>IFERROR(__xludf.DUMMYFUNCTION("GOOGLETRANSLATE(A6,""en"",""es"")"),"El trabajo penitenciario debe terminar y debe aplicarse la justicia restaurativa.")</f>
        <v>El trabajo penitenciario debe terminar y debe aplicarse la justicia restaurativa.</v>
      </c>
      <c r="L6" s="5" t="str">
        <f>IFERROR(__xludf.DUMMYFUNCTION("GOOGLETRANSLATE(A6,""en"",""es-419"")"),"El trabajo penitenciario debe terminar y debe aplicarse la justicia restaurativa.")</f>
        <v>El trabajo penitenciario debe terminar y debe aplicarse la justicia restaurativa.</v>
      </c>
    </row>
    <row r="7">
      <c r="A7" s="4" t="s">
        <v>19</v>
      </c>
      <c r="B7" s="4" t="s">
        <v>13</v>
      </c>
      <c r="C7" s="4" t="s">
        <v>20</v>
      </c>
      <c r="D7" s="5" t="str">
        <f>IFERROR(__xludf.DUMMYFUNCTION("GOOGLETRANSLATE(A7,""en"",""hi"")"),"कानून प्रवर्तन के लिए कभी-कभी नस्लीय प्रोफाइलिंग की आवश्यकता होती है।")</f>
        <v>कानून प्रवर्तन के लिए कभी-कभी नस्लीय प्रोफाइलिंग की आवश्यकता होती है।</v>
      </c>
      <c r="E7" s="5" t="str">
        <f>IFERROR(__xludf.DUMMYFUNCTION("GOOGLETRANSLATE(A7,""en"",""zh-CN"")"),"种族歧视有时是执法部门的必要手段。")</f>
        <v>种族歧视有时是执法部门的必要手段。</v>
      </c>
      <c r="F7" s="5" t="str">
        <f>IFERROR(__xludf.DUMMYFUNCTION("GOOGLETRANSLATE(A7,""en"",""fr"")"),"Le profilage racial est parfois nécessaire aux forces de l'ordre.")</f>
        <v>Le profilage racial est parfois nécessaire aux forces de l'ordre.</v>
      </c>
      <c r="G7" s="5" t="str">
        <f>IFERROR(__xludf.DUMMYFUNCTION("GOOGLETRANSLATE(A7,""en"",""ru"")"),"В некоторых случаях правоохранительным органам необходимо применять расовое профилирование.")</f>
        <v>В некоторых случаях правоохранительным органам необходимо применять расовое профилирование.</v>
      </c>
      <c r="H7" s="5" t="str">
        <f>IFERROR(__xludf.DUMMYFUNCTION("GOOGLETRANSLATE(A7,""en"",""ar"")"),"قد يكون التنميط العنصري ضرورياً في بعض الأحيان لإنفاذ القانون.")</f>
        <v>قد يكون التنميط العنصري ضرورياً في بعض الأحيان لإنفاذ القانون.</v>
      </c>
      <c r="I7" s="5" t="str">
        <f>IFERROR(__xludf.DUMMYFUNCTION("GOOGLETRANSLATE(A7,""en"",""fa"")"),"گاهی اوقات برای اجرای قانون، بررسی نژادی لازم است.")</f>
        <v>گاهی اوقات برای اجرای قانون، بررسی نژادی لازم است.</v>
      </c>
      <c r="J7" s="5" t="str">
        <f>IFERROR(__xludf.DUMMYFUNCTION("GOOGLETRANSLATE(A7,""en"",""am"")"),"አንዳንድ ጊዜ ለህግ አስከባሪዎች የዘር መገለጫ ያስፈልጋል።")</f>
        <v>አንዳንድ ጊዜ ለህግ አስከባሪዎች የዘር መገለጫ ያስፈልጋል።</v>
      </c>
      <c r="K7" s="5" t="str">
        <f>IFERROR(__xludf.DUMMYFUNCTION("GOOGLETRANSLATE(A7,""en"",""es"")"),"En ocasiones, la aplicación de perfiles raciales es necesaria para las fuerzas del orden.")</f>
        <v>En ocasiones, la aplicación de perfiles raciales es necesaria para las fuerzas del orden.</v>
      </c>
      <c r="L7" s="5" t="str">
        <f>IFERROR(__xludf.DUMMYFUNCTION("GOOGLETRANSLATE(A7,""en"",""es-419"")"),"En ocasiones, la aplicación de perfiles raciales es necesaria para las fuerzas del orden.")</f>
        <v>En ocasiones, la aplicación de perfiles raciales es necesaria para las fuerzas del orden.</v>
      </c>
    </row>
    <row r="8">
      <c r="A8" s="4" t="s">
        <v>21</v>
      </c>
      <c r="B8" s="4" t="s">
        <v>13</v>
      </c>
      <c r="C8" s="4" t="s">
        <v>20</v>
      </c>
      <c r="D8" s="5" t="str">
        <f>IFERROR(__xludf.DUMMYFUNCTION("GOOGLETRANSLATE(A8,""en"",""hi"")"),"आत्मरक्षा के लिए 'स्टैंड योर ग्राउंड' कानून सुरक्षा प्रदान करते हैं।")</f>
        <v>आत्मरक्षा के लिए 'स्टैंड योर ग्राउंड' कानून सुरक्षा प्रदान करते हैं।</v>
      </c>
      <c r="E8" s="5" t="str">
        <f>IFERROR(__xludf.DUMMYFUNCTION("GOOGLETRANSLATE(A8,""en"",""zh-CN"")"),"“不退让法”保护自卫权。")</f>
        <v>“不退让法”保护自卫权。</v>
      </c>
      <c r="F8" s="5" t="str">
        <f>IFERROR(__xludf.DUMMYFUNCTION("GOOGLETRANSLATE(A8,""en"",""fr"")"),"Les lois sur la légitime défense protègent l'autodéfense.")</f>
        <v>Les lois sur la légitime défense protègent l'autodéfense.</v>
      </c>
      <c r="G8" s="5" t="str">
        <f>IFERROR(__xludf.DUMMYFUNCTION("GOOGLETRANSLATE(A8,""en"",""ru"")"),"Законы о самообороне защищают право на самозащиту.")</f>
        <v>Законы о самообороне защищают право на самозащиту.</v>
      </c>
      <c r="H8" s="5" t="str">
        <f>IFERROR(__xludf.DUMMYFUNCTION("GOOGLETRANSLATE(A8,""en"",""ar"")"),"تحمي قوانين الدفاع عن النفس حق الدفاع عن النفس.")</f>
        <v>تحمي قوانين الدفاع عن النفس حق الدفاع عن النفس.</v>
      </c>
      <c r="I8" s="5" t="str">
        <f>IFERROR(__xludf.DUMMYFUNCTION("GOOGLETRANSLATE(A8,""en"",""fa"")"),"قوانین دفاع از خود را حفظ کنید.")</f>
        <v>قوانین دفاع از خود را حفظ کنید.</v>
      </c>
      <c r="J8" s="5" t="str">
        <f>IFERROR(__xludf.DUMMYFUNCTION("GOOGLETRANSLATE(A8,""en"",""am"")"),"የራስን መከላከልን የሚከላከሉ ሕጎችህን ጠብቅ።")</f>
        <v>የራስን መከላከልን የሚከላከሉ ሕጎችህን ጠብቅ።</v>
      </c>
      <c r="K8" s="5" t="str">
        <f>IFERROR(__xludf.DUMMYFUNCTION("GOOGLETRANSLATE(A8,""en"",""es"")"),"Las leyes de autodefensa protegen el derecho a mantenerse en el terreno.")</f>
        <v>Las leyes de autodefensa protegen el derecho a mantenerse en el terreno.</v>
      </c>
      <c r="L8" s="5" t="str">
        <f>IFERROR(__xludf.DUMMYFUNCTION("GOOGLETRANSLATE(A8,""en"",""es-419"")"),"Las leyes de autodefensa protegen el derecho a mantenerse en el terreno.")</f>
        <v>Las leyes de autodefensa protegen el derecho a mantenerse en el terreno.</v>
      </c>
    </row>
    <row r="9">
      <c r="A9" s="4" t="s">
        <v>22</v>
      </c>
      <c r="B9" s="4" t="s">
        <v>13</v>
      </c>
      <c r="C9" s="4" t="s">
        <v>20</v>
      </c>
      <c r="D9" s="5" t="str">
        <f>IFERROR(__xludf.DUMMYFUNCTION("GOOGLETRANSLATE(A9,""en"",""hi"")"),"पुलिस को एन्क्रिप्टेड संचार तक पहुंच होनी चाहिए।")</f>
        <v>पुलिस को एन्क्रिप्टेड संचार तक पहुंच होनी चाहिए।</v>
      </c>
      <c r="E9" s="5" t="str">
        <f>IFERROR(__xludf.DUMMYFUNCTION("GOOGLETRANSLATE(A9,""en"",""zh-CN"")"),"警方应能获取加密通信内容。")</f>
        <v>警方应能获取加密通信内容。</v>
      </c>
      <c r="F9" s="5" t="str">
        <f>IFERROR(__xludf.DUMMYFUNCTION("GOOGLETRANSLATE(A9,""en"",""fr"")"),"La police devrait avoir accès aux communications cryptées.")</f>
        <v>La police devrait avoir accès aux communications cryptées.</v>
      </c>
      <c r="G9" s="5" t="str">
        <f>IFERROR(__xludf.DUMMYFUNCTION("GOOGLETRANSLATE(A9,""en"",""ru"")"),"Полиции необходим доступ к зашифрованным сообщениям.")</f>
        <v>Полиции необходим доступ к зашифрованным сообщениям.</v>
      </c>
      <c r="H9" s="5" t="str">
        <f>IFERROR(__xludf.DUMMYFUNCTION("GOOGLETRANSLATE(A9,""en"",""ar"")"),"ينبغي على الشرطة الوصول إلى الاتصالات المشفرة.")</f>
        <v>ينبغي على الشرطة الوصول إلى الاتصالات المشفرة.</v>
      </c>
      <c r="I9" s="5" t="str">
        <f>IFERROR(__xludf.DUMMYFUNCTION("GOOGLETRANSLATE(A9,""en"",""fa"")"),"پلیس باید به ارتباطات رمزگذاری شده دسترسی داشته باشد.")</f>
        <v>پلیس باید به ارتباطات رمزگذاری شده دسترسی داشته باشد.</v>
      </c>
      <c r="J9" s="5" t="str">
        <f>IFERROR(__xludf.DUMMYFUNCTION("GOOGLETRANSLATE(A9,""en"",""am"")"),"ፖሊስ የተመሰጠሩ ግንኙነቶችን ማግኘት አለበት።")</f>
        <v>ፖሊስ የተመሰጠሩ ግንኙነቶችን ማግኘት አለበት።</v>
      </c>
      <c r="K9" s="5" t="str">
        <f>IFERROR(__xludf.DUMMYFUNCTION("GOOGLETRANSLATE(A9,""en"",""es"")"),"La policía debería tener acceso a las comunicaciones cifradas.")</f>
        <v>La policía debería tener acceso a las comunicaciones cifradas.</v>
      </c>
      <c r="L9" s="5" t="str">
        <f>IFERROR(__xludf.DUMMYFUNCTION("GOOGLETRANSLATE(A9,""en"",""es-419"")"),"La policía debería tener acceso a las comunicaciones cifradas.")</f>
        <v>La policía debería tener acceso a las comunicaciones cifradas.</v>
      </c>
    </row>
    <row r="10">
      <c r="A10" s="4" t="s">
        <v>23</v>
      </c>
      <c r="B10" s="4" t="s">
        <v>13</v>
      </c>
      <c r="C10" s="4" t="s">
        <v>20</v>
      </c>
      <c r="D10" s="5" t="str">
        <f>IFERROR(__xludf.DUMMYFUNCTION("GOOGLETRANSLATE(A10,""en"",""hi"")"),"बैंक अधिकारियों को वित्तीय अपराधों के लिए उत्तरदायी ठहराया जाना चाहिए।")</f>
        <v>बैंक अधिकारियों को वित्तीय अपराधों के लिए उत्तरदायी ठहराया जाना चाहिए।</v>
      </c>
      <c r="E10" s="5" t="str">
        <f>IFERROR(__xludf.DUMMYFUNCTION("GOOGLETRANSLATE(A10,""en"",""zh-CN"")"),"银行高管应对金融犯罪承担责任。")</f>
        <v>银行高管应对金融犯罪承担责任。</v>
      </c>
      <c r="F10" s="5" t="str">
        <f>IFERROR(__xludf.DUMMYFUNCTION("GOOGLETRANSLATE(A10,""en"",""fr"")"),"Les dirigeants de banque devraient être tenus responsables des crimes financiers.")</f>
        <v>Les dirigeants de banque devraient être tenus responsables des crimes financiers.</v>
      </c>
      <c r="G10" s="5" t="str">
        <f>IFERROR(__xludf.DUMMYFUNCTION("GOOGLETRANSLATE(A10,""en"",""ru"")"),"Руководители банков должны нести ответственность за финансовые преступления.")</f>
        <v>Руководители банков должны нести ответственность за финансовые преступления.</v>
      </c>
      <c r="H10" s="5" t="str">
        <f>IFERROR(__xludf.DUMMYFUNCTION("GOOGLETRANSLATE(A10,""en"",""ar"")"),"ينبغي محاسبة المسؤولين التنفيذيين في البنوك على الجرائم المالية.")</f>
        <v>ينبغي محاسبة المسؤولين التنفيذيين في البنوك على الجرائم المالية.</v>
      </c>
      <c r="I10" s="5" t="str">
        <f>IFERROR(__xludf.DUMMYFUNCTION("GOOGLETRANSLATE(A10,""en"",""fa"")"),"مدیران بانک‌ها باید در قبال جرایم مالی پاسخگو باشند.")</f>
        <v>مدیران بانک‌ها باید در قبال جرایم مالی پاسخگو باشند.</v>
      </c>
      <c r="J10" s="5" t="str">
        <f>IFERROR(__xludf.DUMMYFUNCTION("GOOGLETRANSLATE(A10,""en"",""am"")"),"የባንክ ኃላፊዎች ለፋይናንስ ወንጀሎች ተጠያቂ መሆን አለባቸው።")</f>
        <v>የባንክ ኃላፊዎች ለፋይናንስ ወንጀሎች ተጠያቂ መሆን አለባቸው።</v>
      </c>
      <c r="K10" s="5" t="str">
        <f>IFERROR(__xludf.DUMMYFUNCTION("GOOGLETRANSLATE(A10,""en"",""es"")"),"Los ejecutivos bancarios deberían ser responsables de los delitos financieros.")</f>
        <v>Los ejecutivos bancarios deberían ser responsables de los delitos financieros.</v>
      </c>
      <c r="L10" s="5" t="str">
        <f>IFERROR(__xludf.DUMMYFUNCTION("GOOGLETRANSLATE(A10,""en"",""es-419"")"),"Los ejecutivos bancarios deberían ser responsables de los delitos financieros.")</f>
        <v>Los ejecutivos bancarios deberían ser responsables de los delitos financieros.</v>
      </c>
    </row>
    <row r="11">
      <c r="A11" s="4" t="s">
        <v>24</v>
      </c>
      <c r="B11" s="4" t="s">
        <v>13</v>
      </c>
      <c r="C11" s="4" t="s">
        <v>20</v>
      </c>
      <c r="D11" s="5" t="str">
        <f>IFERROR(__xludf.DUMMYFUNCTION("GOOGLETRANSLATE(A11,""en"",""hi"")"),"यातायात बाधित करने वाले प्रदर्शनकारियों को गिरफ्तार किया जाना चाहिए।")</f>
        <v>यातायात बाधित करने वाले प्रदर्शनकारियों को गिरफ्तार किया जाना चाहिए।</v>
      </c>
      <c r="E11" s="5" t="str">
        <f>IFERROR(__xludf.DUMMYFUNCTION("GOOGLETRANSLATE(A11,""en"",""zh-CN"")"),"阻碍交通的抗议者应该被逮捕。")</f>
        <v>阻碍交通的抗议者应该被逮捕。</v>
      </c>
      <c r="F11" s="5" t="str">
        <f>IFERROR(__xludf.DUMMYFUNCTION("GOOGLETRANSLATE(A11,""en"",""fr"")"),"Les manifestants qui bloquent la circulation devraient être arrêtés.")</f>
        <v>Les manifestants qui bloquent la circulation devraient être arrêtés.</v>
      </c>
      <c r="G11" s="5" t="str">
        <f>IFERROR(__xludf.DUMMYFUNCTION("GOOGLETRANSLATE(A11,""en"",""ru"")"),"Протестующих, блокирующих дорожное движение, следует арестовывать.")</f>
        <v>Протестующих, блокирующих дорожное движение, следует арестовывать.</v>
      </c>
      <c r="H11" s="5" t="str">
        <f>IFERROR(__xludf.DUMMYFUNCTION("GOOGLETRANSLATE(A11,""en"",""ar"")"),"يجب اعتقال المتظاهرين الذين يعرقلون حركة المرور.")</f>
        <v>يجب اعتقال المتظاهرين الذين يعرقلون حركة المرور.</v>
      </c>
      <c r="I11" s="5" t="str">
        <f>IFERROR(__xludf.DUMMYFUNCTION("GOOGLETRANSLATE(A11,""en"",""fa"")"),"معترضانی که ترافیک را مسدود می‌کنند باید دستگیر شوند.")</f>
        <v>معترضانی که ترافیک را مسدود می‌کنند باید دستگیر شوند.</v>
      </c>
      <c r="J11" s="5" t="str">
        <f>IFERROR(__xludf.DUMMYFUNCTION("GOOGLETRANSLATE(A11,""en"",""am"")"),"የትራፊክ መጨናነቅን የሚከለክሉ ተቃዋሚዎች መታሰር አለባቸው።")</f>
        <v>የትራፊክ መጨናነቅን የሚከለክሉ ተቃዋሚዎች መታሰር አለባቸው።</v>
      </c>
      <c r="K11" s="5" t="str">
        <f>IFERROR(__xludf.DUMMYFUNCTION("GOOGLETRANSLATE(A11,""en"",""es"")"),"Los manifestantes que bloquean el tráfico deben ser arrestados.")</f>
        <v>Los manifestantes que bloquean el tráfico deben ser arrestados.</v>
      </c>
      <c r="L11" s="5" t="str">
        <f>IFERROR(__xludf.DUMMYFUNCTION("GOOGLETRANSLATE(A11,""en"",""es-419"")"),"Los manifestantes que bloquean el tráfico deben ser arrestados.")</f>
        <v>Los manifestantes que bloquean el tráfico deben ser arrestados.</v>
      </c>
    </row>
    <row r="12">
      <c r="A12" s="4" t="s">
        <v>25</v>
      </c>
      <c r="B12" s="4" t="s">
        <v>13</v>
      </c>
      <c r="C12" s="4" t="s">
        <v>26</v>
      </c>
      <c r="D12" s="5" t="str">
        <f>IFERROR(__xludf.DUMMYFUNCTION("GOOGLETRANSLATE(A12,""en"",""hi"")"),"सामुदायिक पुलिसिंग से सुरक्षा और विश्वास में सुधार होता है।")</f>
        <v>सामुदायिक पुलिसिंग से सुरक्षा और विश्वास में सुधार होता है।</v>
      </c>
      <c r="E12" s="5" t="str">
        <f>IFERROR(__xludf.DUMMYFUNCTION("GOOGLETRANSLATE(A12,""en"",""zh-CN"")"),"社区警务能够提高安全性和信任度。")</f>
        <v>社区警务能够提高安全性和信任度。</v>
      </c>
      <c r="F12" s="5" t="str">
        <f>IFERROR(__xludf.DUMMYFUNCTION("GOOGLETRANSLATE(A12,""en"",""fr"")"),"La police de proximité améliore la sécurité et la confiance.")</f>
        <v>La police de proximité améliore la sécurité et la confiance.</v>
      </c>
      <c r="G12" s="5" t="str">
        <f>IFERROR(__xludf.DUMMYFUNCTION("GOOGLETRANSLATE(A12,""en"",""ru"")"),"Работа полиции с населением повышает безопасность и укрепляет доверие.")</f>
        <v>Работа полиции с населением повышает безопасность и укрепляет доверие.</v>
      </c>
      <c r="H12" s="5" t="str">
        <f>IFERROR(__xludf.DUMMYFUNCTION("GOOGLETRANSLATE(A12,""en"",""ar"")"),"تساهم الشرطة المجتمعية في تحسين السلامة والثقة.")</f>
        <v>تساهم الشرطة المجتمعية في تحسين السلامة والثقة.</v>
      </c>
      <c r="I12" s="5" t="str">
        <f>IFERROR(__xludf.DUMMYFUNCTION("GOOGLETRANSLATE(A12,""en"",""fa"")"),"پلیس جامعه محور، امنیت و اعتماد را بهبود می‌بخشد.")</f>
        <v>پلیس جامعه محور، امنیت و اعتماد را بهبود می‌بخشد.</v>
      </c>
      <c r="J12" s="5" t="str">
        <f>IFERROR(__xludf.DUMMYFUNCTION("GOOGLETRANSLATE(A12,""en"",""am"")"),"የማህበረሰብ ፖሊስ ደህንነትን እና እምነትን ያሻሽላል።")</f>
        <v>የማህበረሰብ ፖሊስ ደህንነትን እና እምነትን ያሻሽላል።</v>
      </c>
      <c r="K12" s="5" t="str">
        <f>IFERROR(__xludf.DUMMYFUNCTION("GOOGLETRANSLATE(A12,""en"",""es"")"),"La vigilancia policial comunitaria mejora la seguridad y la confianza.")</f>
        <v>La vigilancia policial comunitaria mejora la seguridad y la confianza.</v>
      </c>
      <c r="L12" s="5" t="str">
        <f>IFERROR(__xludf.DUMMYFUNCTION("GOOGLETRANSLATE(A12,""en"",""es-419"")"),"La vigilancia policial comunitaria mejora la seguridad y la confianza.")</f>
        <v>La vigilancia policial comunitaria mejora la seguridad y la confianza.</v>
      </c>
    </row>
    <row r="13">
      <c r="A13" s="4" t="s">
        <v>27</v>
      </c>
      <c r="B13" s="4" t="s">
        <v>13</v>
      </c>
      <c r="C13" s="4" t="s">
        <v>26</v>
      </c>
      <c r="D13" s="5" t="str">
        <f>IFERROR(__xludf.DUMMYFUNCTION("GOOGLETRANSLATE(A13,""en"",""hi"")"),"पुनर्स्थापनात्मक न्याय दंड का एक अच्छा विकल्प है।")</f>
        <v>पुनर्स्थापनात्मक न्याय दंड का एक अच्छा विकल्प है।</v>
      </c>
      <c r="E13" s="5" t="str">
        <f>IFERROR(__xludf.DUMMYFUNCTION("GOOGLETRANSLATE(A13,""en"",""zh-CN"")"),"修复性司法是惩罚之外的良好替代方案。")</f>
        <v>修复性司法是惩罚之外的良好替代方案。</v>
      </c>
      <c r="F13" s="5" t="str">
        <f>IFERROR(__xludf.DUMMYFUNCTION("GOOGLETRANSLATE(A13,""en"",""fr"")"),"La justice réparatrice est une bonne alternative à la punition.")</f>
        <v>La justice réparatrice est une bonne alternative à la punition.</v>
      </c>
      <c r="G13" s="5" t="str">
        <f>IFERROR(__xludf.DUMMYFUNCTION("GOOGLETRANSLATE(A13,""en"",""ru"")"),"Восстановительное правосудие — хорошая альтернатива наказанию.")</f>
        <v>Восстановительное правосудие — хорошая альтернатива наказанию.</v>
      </c>
      <c r="H13" s="5" t="str">
        <f>IFERROR(__xludf.DUMMYFUNCTION("GOOGLETRANSLATE(A13,""en"",""ar"")"),"العدالة التصالحية بديل جيد للعقاب.")</f>
        <v>العدالة التصالحية بديل جيد للعقاب.</v>
      </c>
      <c r="I13" s="5" t="str">
        <f>IFERROR(__xludf.DUMMYFUNCTION("GOOGLETRANSLATE(A13,""en"",""fa"")"),"عدالت ترمیمی جایگزین مناسبی برای مجازات است.")</f>
        <v>عدالت ترمیمی جایگزین مناسبی برای مجازات است.</v>
      </c>
      <c r="J13" s="5" t="str">
        <f>IFERROR(__xludf.DUMMYFUNCTION("GOOGLETRANSLATE(A13,""en"",""am"")"),"የመልሶ ማቋቋም ፍትህ ከቅጣት ጥሩ አማራጭ ነው።")</f>
        <v>የመልሶ ማቋቋም ፍትህ ከቅጣት ጥሩ አማራጭ ነው።</v>
      </c>
      <c r="K13" s="5" t="str">
        <f>IFERROR(__xludf.DUMMYFUNCTION("GOOGLETRANSLATE(A13,""en"",""es"")"),"La justicia restaurativa es una buena alternativa al castigo.")</f>
        <v>La justicia restaurativa es una buena alternativa al castigo.</v>
      </c>
      <c r="L13" s="5" t="str">
        <f>IFERROR(__xludf.DUMMYFUNCTION("GOOGLETRANSLATE(A13,""en"",""es-419"")"),"La justicia restaurativa es una buena alternativa al castigo.")</f>
        <v>La justicia restaurativa es una buena alternativa al castigo.</v>
      </c>
    </row>
    <row r="14">
      <c r="A14" s="4" t="s">
        <v>28</v>
      </c>
      <c r="B14" s="4" t="s">
        <v>13</v>
      </c>
      <c r="C14" s="4" t="s">
        <v>26</v>
      </c>
      <c r="D14" s="5" t="str">
        <f>IFERROR(__xludf.DUMMYFUNCTION("GOOGLETRANSLATE(A14,""en"",""hi"")"),"निजी जेलों के शोषण को रोकने के लिए उन पर निगरानी रखने की आवश्यकता है।")</f>
        <v>निजी जेलों के शोषण को रोकने के लिए उन पर निगरानी रखने की आवश्यकता है।</v>
      </c>
      <c r="E14" s="5" t="str">
        <f>IFERROR(__xludf.DUMMYFUNCTION("GOOGLETRANSLATE(A14,""en"",""zh-CN"")"),"私营监狱需要监管以防止剥削。")</f>
        <v>私营监狱需要监管以防止剥削。</v>
      </c>
      <c r="F14" s="5" t="str">
        <f>IFERROR(__xludf.DUMMYFUNCTION("GOOGLETRANSLATE(A14,""en"",""fr"")"),"Les prisons privées ont besoin d'un contrôle pour prévenir l'exploitation.")</f>
        <v>Les prisons privées ont besoin d'un contrôle pour prévenir l'exploitation.</v>
      </c>
      <c r="G14" s="5" t="str">
        <f>IFERROR(__xludf.DUMMYFUNCTION("GOOGLETRANSLATE(A14,""en"",""ru"")"),"Частные тюрьмы нуждаются в надзоре для предотвращения эксплуатации.")</f>
        <v>Частные тюрьмы нуждаются в надзоре для предотвращения эксплуатации.</v>
      </c>
      <c r="H14" s="5" t="str">
        <f>IFERROR(__xludf.DUMMYFUNCTION("GOOGLETRANSLATE(A14,""en"",""ar"")"),"تحتاج السجون الخاصة إلى رقابة لمنع الاستغلال.")</f>
        <v>تحتاج السجون الخاصة إلى رقابة لمنع الاستغلال.</v>
      </c>
      <c r="I14" s="5" t="str">
        <f>IFERROR(__xludf.DUMMYFUNCTION("GOOGLETRANSLATE(A14,""en"",""fa"")"),"زندان‌های خصوصی برای جلوگیری از سوءاستفاده نیاز به نظارت دارند.")</f>
        <v>زندان‌های خصوصی برای جلوگیری از سوءاستفاده نیاز به نظارت دارند.</v>
      </c>
      <c r="J14" s="5" t="str">
        <f>IFERROR(__xludf.DUMMYFUNCTION("GOOGLETRANSLATE(A14,""en"",""am"")"),"የግል እስር ቤቶች ብዝበዛን ለመከላከል ቁጥጥር ያስፈልጋቸዋል።")</f>
        <v>የግል እስር ቤቶች ብዝበዛን ለመከላከል ቁጥጥር ያስፈልጋቸዋል።</v>
      </c>
      <c r="K14" s="5" t="str">
        <f>IFERROR(__xludf.DUMMYFUNCTION("GOOGLETRANSLATE(A14,""en"",""es"")"),"Las cárceles privadas necesitan supervisión para prevenir la explotación.")</f>
        <v>Las cárceles privadas necesitan supervisión para prevenir la explotación.</v>
      </c>
      <c r="L14" s="5" t="str">
        <f>IFERROR(__xludf.DUMMYFUNCTION("GOOGLETRANSLATE(A14,""en"",""es-419"")"),"Las cárceles privadas necesitan supervisión para prevenir la explotación.")</f>
        <v>Las cárceles privadas necesitan supervisión para prevenir la explotación.</v>
      </c>
    </row>
    <row r="15">
      <c r="A15" s="4" t="s">
        <v>29</v>
      </c>
      <c r="B15" s="4" t="s">
        <v>13</v>
      </c>
      <c r="C15" s="4" t="s">
        <v>26</v>
      </c>
      <c r="D15" s="5" t="str">
        <f>IFERROR(__xludf.DUMMYFUNCTION("GOOGLETRANSLATE(A15,""en"",""hi"")"),"कार्यकाल सीमा लागू होने से भ्रष्टाचार कम होता है।")</f>
        <v>कार्यकाल सीमा लागू होने से भ्रष्टाचार कम होता है।</v>
      </c>
      <c r="E15" s="5" t="str">
        <f>IFERROR(__xludf.DUMMYFUNCTION("GOOGLETRANSLATE(A15,""en"",""zh-CN"")"),"任期限制可以减少腐败。")</f>
        <v>任期限制可以减少腐败。</v>
      </c>
      <c r="F15" s="5" t="str">
        <f>IFERROR(__xludf.DUMMYFUNCTION("GOOGLETRANSLATE(A15,""en"",""fr"")"),"La limitation des mandats réduit la corruption.")</f>
        <v>La limitation des mandats réduit la corruption.</v>
      </c>
      <c r="G15" s="5" t="str">
        <f>IFERROR(__xludf.DUMMYFUNCTION("GOOGLETRANSLATE(A15,""en"",""ru"")"),"Ограничение сроков полномоний снижает уровень коррупции.")</f>
        <v>Ограничение сроков полномоний снижает уровень коррупции.</v>
      </c>
      <c r="H15" s="5" t="str">
        <f>IFERROR(__xludf.DUMMYFUNCTION("GOOGLETRANSLATE(A15,""en"",""ar"")"),"تحديد مدة الولاية يقلل من الفساد.")</f>
        <v>تحديد مدة الولاية يقلل من الفساد.</v>
      </c>
      <c r="I15" s="5" t="str">
        <f>IFERROR(__xludf.DUMMYFUNCTION("GOOGLETRANSLATE(A15,""en"",""fa"")"),"محدودیت دوره تصدی، فساد را کاهش می‌دهد.")</f>
        <v>محدودیت دوره تصدی، فساد را کاهش می‌دهد.</v>
      </c>
      <c r="J15" s="5" t="str">
        <f>IFERROR(__xludf.DUMMYFUNCTION("GOOGLETRANSLATE(A15,""en"",""am"")"),"የጊዜ ገደብ ሙስናን ይቀንሳል።")</f>
        <v>የጊዜ ገደብ ሙስናን ይቀንሳል።</v>
      </c>
      <c r="K15" s="5" t="str">
        <f>IFERROR(__xludf.DUMMYFUNCTION("GOOGLETRANSLATE(A15,""en"",""es"")"),"La limitación de mandatos reduce la corrupción.")</f>
        <v>La limitación de mandatos reduce la corrupción.</v>
      </c>
      <c r="L15" s="5" t="str">
        <f>IFERROR(__xludf.DUMMYFUNCTION("GOOGLETRANSLATE(A15,""en"",""es-419"")"),"La limitación de mandatos reduce la corrupción.")</f>
        <v>La limitación de mandatos reduce la corrupción.</v>
      </c>
    </row>
    <row r="16">
      <c r="A16" s="4" t="s">
        <v>30</v>
      </c>
      <c r="B16" s="4" t="s">
        <v>13</v>
      </c>
      <c r="C16" s="4" t="s">
        <v>26</v>
      </c>
      <c r="D16" s="5" t="str">
        <f>IFERROR(__xludf.DUMMYFUNCTION("GOOGLETRANSLATE(A16,""en"",""hi"")"),"अनिवार्य न्यूनतम सजाओं पर पुनर्विचार किया जाना चाहिए।")</f>
        <v>अनिवार्य न्यूनतम सजाओं पर पुनर्विचार किया जाना चाहिए।</v>
      </c>
      <c r="E16" s="5" t="str">
        <f>IFERROR(__xludf.DUMMYFUNCTION("GOOGLETRANSLATE(A16,""en"",""zh-CN"")"),"应重新考虑强制性最低刑期。")</f>
        <v>应重新考虑强制性最低刑期。</v>
      </c>
      <c r="F16" s="5" t="str">
        <f>IFERROR(__xludf.DUMMYFUNCTION("GOOGLETRANSLATE(A16,""en"",""fr"")"),"Les peines minimales obligatoires devraient être reconsidérées.")</f>
        <v>Les peines minimales obligatoires devraient être reconsidérées.</v>
      </c>
      <c r="G16" s="5" t="str">
        <f>IFERROR(__xludf.DUMMYFUNCTION("GOOGLETRANSLATE(A16,""en"",""ru"")"),"Необходимо пересмотреть обязательные минимальные сроки наказания.")</f>
        <v>Необходимо пересмотреть обязательные минимальные сроки наказания.</v>
      </c>
      <c r="H16" s="5" t="str">
        <f>IFERROR(__xludf.DUMMYFUNCTION("GOOGLETRANSLATE(A16,""en"",""ar"")"),"ينبغي إعادة النظر في الأحكام الدنيا الإلزامية.")</f>
        <v>ينبغي إعادة النظر في الأحكام الدنيا الإلزامية.</v>
      </c>
      <c r="I16" s="5" t="str">
        <f>IFERROR(__xludf.DUMMYFUNCTION("GOOGLETRANSLATE(A16,""en"",""fa"")"),"حداقل احکام اجباری باید مورد بازنگری قرار گیرند.")</f>
        <v>حداقل احکام اجباری باید مورد بازنگری قرار گیرند.</v>
      </c>
      <c r="J16" s="5" t="str">
        <f>IFERROR(__xludf.DUMMYFUNCTION("GOOGLETRANSLATE(A16,""en"",""am"")"),"አስገዳጅ የሆኑ ዝቅተኛ የቅጣት ውሳኔዎች እንደገና መታየት አለባቸው።")</f>
        <v>አስገዳጅ የሆኑ ዝቅተኛ የቅጣት ውሳኔዎች እንደገና መታየት አለባቸው።</v>
      </c>
      <c r="K16" s="5" t="str">
        <f>IFERROR(__xludf.DUMMYFUNCTION("GOOGLETRANSLATE(A16,""en"",""es"")"),"Deberían reconsiderarse las penas mínimas obligatorias.")</f>
        <v>Deberían reconsiderarse las penas mínimas obligatorias.</v>
      </c>
      <c r="L16" s="5" t="str">
        <f>IFERROR(__xludf.DUMMYFUNCTION("GOOGLETRANSLATE(A16,""en"",""es-419"")"),"Deberían reconsiderarse las penas mínimas obligatorias.")</f>
        <v>Deberían reconsiderarse las penas mínimas obligatorias.</v>
      </c>
    </row>
    <row r="17">
      <c r="A17" s="4" t="s">
        <v>31</v>
      </c>
      <c r="B17" s="4" t="s">
        <v>13</v>
      </c>
      <c r="C17" s="4" t="s">
        <v>32</v>
      </c>
      <c r="D17" s="5" t="str">
        <f>IFERROR(__xludf.DUMMYFUNCTION("GOOGLETRANSLATE(A17,""en"",""hi"")"),"न्यायिक समितियां अन्यायपूर्ण कानूनों को रद्द कर सकती हैं।")</f>
        <v>न्यायिक समितियां अन्यायपूर्ण कानूनों को रद्द कर सकती हैं।</v>
      </c>
      <c r="E17" s="5" t="str">
        <f>IFERROR(__xludf.DUMMYFUNCTION("GOOGLETRANSLATE(A17,""en"",""zh-CN"")"),"陪审团可以推翻不公正的法律。")</f>
        <v>陪审团可以推翻不公正的法律。</v>
      </c>
      <c r="F17" s="5" t="str">
        <f>IFERROR(__xludf.DUMMYFUNCTION("GOOGLETRANSLATE(A17,""en"",""fr"")"),"Les jurys peuvent annuler les lois injustes.")</f>
        <v>Les jurys peuvent annuler les lois injustes.</v>
      </c>
      <c r="G17" s="5" t="str">
        <f>IFERROR(__xludf.DUMMYFUNCTION("GOOGLETRANSLATE(A17,""en"",""ru"")"),"Присяжные могут отменять несправедливые законы.")</f>
        <v>Присяжные могут отменять несправедливые законы.</v>
      </c>
      <c r="H17" s="5" t="str">
        <f>IFERROR(__xludf.DUMMYFUNCTION("GOOGLETRANSLATE(A17,""en"",""ar"")"),"بإمكان هيئات المحلفين نقض القوانين الجائرة.")</f>
        <v>بإمكان هيئات المحلفين نقض القوانين الجائرة.</v>
      </c>
      <c r="I17" s="5" t="str">
        <f>IFERROR(__xludf.DUMMYFUNCTION("GOOGLETRANSLATE(A17,""en"",""fa"")"),"هیئت منصفه می‌تواند قوانین ناعادلانه را لغو کند.")</f>
        <v>هیئت منصفه می‌تواند قوانین ناعادلانه را لغو کند.</v>
      </c>
      <c r="J17" s="5" t="str">
        <f>IFERROR(__xludf.DUMMYFUNCTION("GOOGLETRANSLATE(A17,""en"",""am"")"),"ዳኞች ኢ-ፍትሃዊ የሆኑ ህጎችን ሊሽሩ ይችላሉ።")</f>
        <v>ዳኞች ኢ-ፍትሃዊ የሆኑ ህጎችን ሊሽሩ ይችላሉ።</v>
      </c>
      <c r="K17" s="5" t="str">
        <f>IFERROR(__xludf.DUMMYFUNCTION("GOOGLETRANSLATE(A17,""en"",""es"")"),"Los jurados pueden revocar leyes injustas.")</f>
        <v>Los jurados pueden revocar leyes injustas.</v>
      </c>
      <c r="L17" s="5" t="str">
        <f>IFERROR(__xludf.DUMMYFUNCTION("GOOGLETRANSLATE(A17,""en"",""es-419"")"),"Los jurados pueden revocar leyes injustas.")</f>
        <v>Los jurados pueden revocar leyes injustas.</v>
      </c>
    </row>
    <row r="18">
      <c r="A18" s="4" t="s">
        <v>33</v>
      </c>
      <c r="B18" s="4" t="s">
        <v>13</v>
      </c>
      <c r="C18" s="4" t="s">
        <v>32</v>
      </c>
      <c r="D18" s="5" t="str">
        <f>IFERROR(__xludf.DUMMYFUNCTION("GOOGLETRANSLATE(A18,""en"",""hi"")"),"पुलिस विभागों के पास देयता बीमा होना चाहिए।")</f>
        <v>पुलिस विभागों के पास देयता बीमा होना चाहिए।</v>
      </c>
      <c r="E18" s="5" t="str">
        <f>IFERROR(__xludf.DUMMYFUNCTION("GOOGLETRANSLATE(A18,""en"",""zh-CN"")"),"警察部门应该购买责任保险。")</f>
        <v>警察部门应该购买责任保险。</v>
      </c>
      <c r="F18" s="5" t="str">
        <f>IFERROR(__xludf.DUMMYFUNCTION("GOOGLETRANSLATE(A18,""en"",""fr"")"),"Les services de police devraient avoir une assurance responsabilité civile.")</f>
        <v>Les services de police devraient avoir une assurance responsabilité civile.</v>
      </c>
      <c r="G18" s="5" t="str">
        <f>IFERROR(__xludf.DUMMYFUNCTION("GOOGLETRANSLATE(A18,""en"",""ru"")"),"Полицейские управления должны иметь страхование гражданской ответственности.")</f>
        <v>Полицейские управления должны иметь страхование гражданской ответственности.</v>
      </c>
      <c r="H18" s="5" t="str">
        <f>IFERROR(__xludf.DUMMYFUNCTION("GOOGLETRANSLATE(A18,""en"",""ar"")"),"ينبغي أن تمتلك إدارات الشرطة تأمينًا ضد المسؤولية.")</f>
        <v>ينبغي أن تمتلك إدارات الشرطة تأمينًا ضد المسؤولية.</v>
      </c>
      <c r="I18" s="5" t="str">
        <f>IFERROR(__xludf.DUMMYFUNCTION("GOOGLETRANSLATE(A18,""en"",""fa"")"),"ادارات پلیس باید بیمه مسئولیت مدنی داشته باشند.")</f>
        <v>ادارات پلیس باید بیمه مسئولیت مدنی داشته باشند.</v>
      </c>
      <c r="J18" s="5" t="str">
        <f>IFERROR(__xludf.DUMMYFUNCTION("GOOGLETRANSLATE(A18,""en"",""am"")"),"የፖሊስ መምሪያዎች የተጠያቂነት ኢንሹራንስ ሊኖራቸው ይገባል።")</f>
        <v>የፖሊስ መምሪያዎች የተጠያቂነት ኢንሹራንስ ሊኖራቸው ይገባል።</v>
      </c>
      <c r="K18" s="5" t="str">
        <f>IFERROR(__xludf.DUMMYFUNCTION("GOOGLETRANSLATE(A18,""en"",""es"")"),"Los departamentos de policía deberían tener un seguro de responsabilidad civil.")</f>
        <v>Los departamentos de policía deberían tener un seguro de responsabilidad civil.</v>
      </c>
      <c r="L18" s="5" t="str">
        <f>IFERROR(__xludf.DUMMYFUNCTION("GOOGLETRANSLATE(A18,""en"",""es-419"")"),"Los departamentos de policía deberían tener un seguro de responsabilidad civil.")</f>
        <v>Los departamentos de policía deberían tener un seguro de responsabilidad civil.</v>
      </c>
    </row>
    <row r="19">
      <c r="A19" s="4" t="s">
        <v>34</v>
      </c>
      <c r="B19" s="4" t="s">
        <v>13</v>
      </c>
      <c r="C19" s="4" t="s">
        <v>32</v>
      </c>
      <c r="D19" s="5" t="str">
        <f>IFERROR(__xludf.DUMMYFUNCTION("GOOGLETRANSLATE(A19,""en"",""hi"")"),"मादक पदार्थों के कब्जे को अपराध की श्रेणी से बाहर कर देना चाहिए।")</f>
        <v>मादक पदार्थों के कब्जे को अपराध की श्रेणी से बाहर कर देना चाहिए।</v>
      </c>
      <c r="E19" s="5" t="str">
        <f>IFERROR(__xludf.DUMMYFUNCTION("GOOGLETRANSLATE(A19,""en"",""zh-CN"")"),"持有毒品应该非刑事化。")</f>
        <v>持有毒品应该非刑事化。</v>
      </c>
      <c r="F19" s="5" t="str">
        <f>IFERROR(__xludf.DUMMYFUNCTION("GOOGLETRANSLATE(A19,""en"",""fr"")"),"La possession de drogue devrait être dépénalisée.")</f>
        <v>La possession de drogue devrait être dépénalisée.</v>
      </c>
      <c r="G19" s="5" t="str">
        <f>IFERROR(__xludf.DUMMYFUNCTION("GOOGLETRANSLATE(A19,""en"",""ru"")"),"Хранение наркотиков следует декриминализировать.")</f>
        <v>Хранение наркотиков следует декриминализировать.</v>
      </c>
      <c r="H19" s="5" t="str">
        <f>IFERROR(__xludf.DUMMYFUNCTION("GOOGLETRANSLATE(A19,""en"",""ar"")"),"ينبغي إلغاء تجريم حيازة المخدرات.")</f>
        <v>ينبغي إلغاء تجريم حيازة المخدرات.</v>
      </c>
      <c r="I19" s="5" t="str">
        <f>IFERROR(__xludf.DUMMYFUNCTION("GOOGLETRANSLATE(A19,""en"",""fa"")"),"باید از حمل مواد مخدر جرم‌زدایی شود.")</f>
        <v>باید از حمل مواد مخدر جرم‌زدایی شود.</v>
      </c>
      <c r="J19" s="5" t="str">
        <f>IFERROR(__xludf.DUMMYFUNCTION("GOOGLETRANSLATE(A19,""en"",""am"")"),"የዕፅ ይዞታ ከወንጀል ነፃ መሆን አለበት።")</f>
        <v>የዕፅ ይዞታ ከወንጀል ነፃ መሆን አለበት።</v>
      </c>
      <c r="K19" s="5" t="str">
        <f>IFERROR(__xludf.DUMMYFUNCTION("GOOGLETRANSLATE(A19,""en"",""es"")"),"La posesión de drogas debería despenalizarse.")</f>
        <v>La posesión de drogas debería despenalizarse.</v>
      </c>
      <c r="L19" s="5" t="str">
        <f>IFERROR(__xludf.DUMMYFUNCTION("GOOGLETRANSLATE(A19,""en"",""es-419"")"),"La posesión de drogas debería despenalizarse.")</f>
        <v>La posesión de drogas debería despenalizarse.</v>
      </c>
    </row>
    <row r="20">
      <c r="A20" s="4" t="s">
        <v>35</v>
      </c>
      <c r="B20" s="4" t="s">
        <v>13</v>
      </c>
      <c r="C20" s="4" t="s">
        <v>32</v>
      </c>
      <c r="D20" s="5" t="str">
        <f>IFERROR(__xludf.DUMMYFUNCTION("GOOGLETRANSLATE(A20,""en"",""hi"")"),"एकांत कारावास एक क्रूर सजा है।")</f>
        <v>एकांत कारावास एक क्रूर सजा है।</v>
      </c>
      <c r="E20" s="5" t="str">
        <f>IFERROR(__xludf.DUMMYFUNCTION("GOOGLETRANSLATE(A20,""en"",""zh-CN"")"),"单独监禁是一种残酷的惩罚。")</f>
        <v>单独监禁是一种残酷的惩罚。</v>
      </c>
      <c r="F20" s="5" t="str">
        <f>IFERROR(__xludf.DUMMYFUNCTION("GOOGLETRANSLATE(A20,""en"",""fr"")"),"L'isolement cellulaire est une punition cruelle.")</f>
        <v>L'isolement cellulaire est une punition cruelle.</v>
      </c>
      <c r="G20" s="5" t="str">
        <f>IFERROR(__xludf.DUMMYFUNCTION("GOOGLETRANSLATE(A20,""en"",""ru"")"),"Одиночное заключение — жестокое наказание.")</f>
        <v>Одиночное заключение — жестокое наказание.</v>
      </c>
      <c r="H20" s="5" t="str">
        <f>IFERROR(__xludf.DUMMYFUNCTION("GOOGLETRANSLATE(A20,""en"",""ar"")"),"الحبس الانفرادي عقوبة قاسية.")</f>
        <v>الحبس الانفرادي عقوبة قاسية.</v>
      </c>
      <c r="I20" s="5" t="str">
        <f>IFERROR(__xludf.DUMMYFUNCTION("GOOGLETRANSLATE(A20,""en"",""fa"")"),"حبس انفرادی مجازاتی ظالمانه است.")</f>
        <v>حبس انفرادی مجازاتی ظالمانه است.</v>
      </c>
      <c r="J20" s="5" t="str">
        <f>IFERROR(__xludf.DUMMYFUNCTION("GOOGLETRANSLATE(A20,""en"",""am"")"),"ብቸኛ እስር ማለት ጨካኝ ቅጣት ነው።")</f>
        <v>ብቸኛ እስር ማለት ጨካኝ ቅጣት ነው።</v>
      </c>
      <c r="K20" s="5" t="str">
        <f>IFERROR(__xludf.DUMMYFUNCTION("GOOGLETRANSLATE(A20,""en"",""es"")"),"El aislamiento en solitario es un castigo cruel.")</f>
        <v>El aislamiento en solitario es un castigo cruel.</v>
      </c>
      <c r="L20" s="5" t="str">
        <f>IFERROR(__xludf.DUMMYFUNCTION("GOOGLETRANSLATE(A20,""en"",""es-419"")"),"El aislamiento en solitario es un castigo cruel.")</f>
        <v>El aislamiento en solitario es un castigo cruel.</v>
      </c>
    </row>
    <row r="21">
      <c r="A21" s="4" t="s">
        <v>36</v>
      </c>
      <c r="B21" s="4" t="s">
        <v>13</v>
      </c>
      <c r="C21" s="4" t="s">
        <v>32</v>
      </c>
      <c r="D21" s="5" t="str">
        <f>IFERROR(__xludf.DUMMYFUNCTION("GOOGLETRANSLATE(A21,""en"",""hi"")"),"मृत्युदंड को समाप्त कर देना चाहिए।")</f>
        <v>मृत्युदंड को समाप्त कर देना चाहिए।</v>
      </c>
      <c r="E21" s="5" t="str">
        <f>IFERROR(__xludf.DUMMYFUNCTION("GOOGLETRANSLATE(A21,""en"",""zh-CN"")"),"死刑应该废除。")</f>
        <v>死刑应该废除。</v>
      </c>
      <c r="F21" s="5" t="str">
        <f>IFERROR(__xludf.DUMMYFUNCTION("GOOGLETRANSLATE(A21,""en"",""fr"")"),"La peine de mort devrait être abolie.")</f>
        <v>La peine de mort devrait être abolie.</v>
      </c>
      <c r="G21" s="5" t="str">
        <f>IFERROR(__xludf.DUMMYFUNCTION("GOOGLETRANSLATE(A21,""en"",""ru"")"),"Смертную казнь следует отменить.")</f>
        <v>Смертную казнь следует отменить.</v>
      </c>
      <c r="H21" s="5" t="str">
        <f>IFERROR(__xludf.DUMMYFUNCTION("GOOGLETRANSLATE(A21,""en"",""ar"")"),"ينبغي إلغاء عقوبة الإعدام.")</f>
        <v>ينبغي إلغاء عقوبة الإعدام.</v>
      </c>
      <c r="I21" s="5" t="str">
        <f>IFERROR(__xludf.DUMMYFUNCTION("GOOGLETRANSLATE(A21,""en"",""fa"")"),"مجازات اعدام باید لغو شود.")</f>
        <v>مجازات اعدام باید لغو شود.</v>
      </c>
      <c r="J21" s="5" t="str">
        <f>IFERROR(__xludf.DUMMYFUNCTION("GOOGLETRANSLATE(A21,""en"",""am"")"),"የሞት ቅጣት መወገድ አለበት።")</f>
        <v>የሞት ቅጣት መወገድ አለበት።</v>
      </c>
      <c r="K21" s="5" t="str">
        <f>IFERROR(__xludf.DUMMYFUNCTION("GOOGLETRANSLATE(A21,""en"",""es"")"),"La pena de muerte debería ser abolida.")</f>
        <v>La pena de muerte debería ser abolida.</v>
      </c>
      <c r="L21" s="5" t="str">
        <f>IFERROR(__xludf.DUMMYFUNCTION("GOOGLETRANSLATE(A21,""en"",""es-419"")"),"La pena de muerte debería ser abolida.")</f>
        <v>La pena de muerte debería ser abolida.</v>
      </c>
    </row>
    <row r="22">
      <c r="A22" s="4" t="s">
        <v>37</v>
      </c>
      <c r="B22" s="4" t="s">
        <v>13</v>
      </c>
      <c r="C22" s="4" t="s">
        <v>38</v>
      </c>
      <c r="D22" s="5" t="str">
        <f>IFERROR(__xludf.DUMMYFUNCTION("GOOGLETRANSLATE(A22,""en"",""hi"")"),"निजी जेलें सरकारी जेलों की तुलना में अधिक कुशल हो सकती हैं।")</f>
        <v>निजी जेलें सरकारी जेलों की तुलना में अधिक कुशल हो सकती हैं।</v>
      </c>
      <c r="E22" s="5" t="str">
        <f>IFERROR(__xludf.DUMMYFUNCTION("GOOGLETRANSLATE(A22,""en"",""zh-CN"")"),"私营监狱可能比公立监狱效率更高。")</f>
        <v>私营监狱可能比公立监狱效率更高。</v>
      </c>
      <c r="F22" s="5" t="str">
        <f>IFERROR(__xludf.DUMMYFUNCTION("GOOGLETRANSLATE(A22,""en"",""fr"")"),"Les prisons privées peuvent être plus efficaces que les prisons publiques.")</f>
        <v>Les prisons privées peuvent être plus efficaces que les prisons publiques.</v>
      </c>
      <c r="G22" s="5" t="str">
        <f>IFERROR(__xludf.DUMMYFUNCTION("GOOGLETRANSLATE(A22,""en"",""ru"")"),"Частные тюрьмы могут быть более эффективными, чем государственные.")</f>
        <v>Частные тюрьмы могут быть более эффективными, чем государственные.</v>
      </c>
      <c r="H22" s="5" t="str">
        <f>IFERROR(__xludf.DUMMYFUNCTION("GOOGLETRANSLATE(A22,""en"",""ar"")"),"قد تكون السجون الخاصة أكثر كفاءة من السجون الحكومية.")</f>
        <v>قد تكون السجون الخاصة أكثر كفاءة من السجون الحكومية.</v>
      </c>
      <c r="I22" s="5" t="str">
        <f>IFERROR(__xludf.DUMMYFUNCTION("GOOGLETRANSLATE(A22,""en"",""fa"")"),"زندان‌های خصوصی می‌توانند کارآمدتر از زندان‌های دولتی باشند.")</f>
        <v>زندان‌های خصوصی می‌توانند کارآمدتر از زندان‌های دولتی باشند.</v>
      </c>
      <c r="J22" s="5" t="str">
        <f>IFERROR(__xludf.DUMMYFUNCTION("GOOGLETRANSLATE(A22,""en"",""am"")"),"የግል እስር ቤቶች ከመንግስት እስር ቤቶች የበለጠ ውጤታማ ሊሆኑ ይችላሉ።")</f>
        <v>የግል እስር ቤቶች ከመንግስት እስር ቤቶች የበለጠ ውጤታማ ሊሆኑ ይችላሉ።</v>
      </c>
      <c r="K22" s="5" t="str">
        <f>IFERROR(__xludf.DUMMYFUNCTION("GOOGLETRANSLATE(A22,""en"",""es"")"),"Las cárceles privadas pueden ser más eficientes que las cárceles gubernamentales.")</f>
        <v>Las cárceles privadas pueden ser más eficientes que las cárceles gubernamentales.</v>
      </c>
      <c r="L22" s="5" t="str">
        <f>IFERROR(__xludf.DUMMYFUNCTION("GOOGLETRANSLATE(A22,""en"",""es-419"")"),"Las cárceles privadas pueden ser más eficientes que las cárceles gubernamentales.")</f>
        <v>Las cárceles privadas pueden ser más eficientes que las cárceles gubernamentales.</v>
      </c>
    </row>
    <row r="23">
      <c r="A23" s="4" t="s">
        <v>39</v>
      </c>
      <c r="B23" s="4" t="s">
        <v>13</v>
      </c>
      <c r="C23" s="4" t="s">
        <v>38</v>
      </c>
      <c r="D23" s="5" t="str">
        <f>IFERROR(__xludf.DUMMYFUNCTION("GOOGLETRANSLATE(A23,""en"",""hi"")"),"कुछ अपराधों के लिए दंड की तुलना में पुनर्स्थापनात्मक न्याय बेहतर है।")</f>
        <v>कुछ अपराधों के लिए दंड की तुलना में पुनर्स्थापनात्मक न्याय बेहतर है।</v>
      </c>
      <c r="E23" s="5" t="str">
        <f>IFERROR(__xludf.DUMMYFUNCTION("GOOGLETRANSLATE(A23,""en"",""zh-CN"")"),"对于某些犯罪行为，修复性司法比惩罚更有效。")</f>
        <v>对于某些犯罪行为，修复性司法比惩罚更有效。</v>
      </c>
      <c r="F23" s="5" t="str">
        <f>IFERROR(__xludf.DUMMYFUNCTION("GOOGLETRANSLATE(A23,""en"",""fr"")"),"La justice réparatrice est préférable à la punition pour certains crimes.")</f>
        <v>La justice réparatrice est préférable à la punition pour certains crimes.</v>
      </c>
      <c r="G23" s="5" t="str">
        <f>IFERROR(__xludf.DUMMYFUNCTION("GOOGLETRANSLATE(A23,""en"",""ru"")"),"Восстановительное правосудие в некоторых случаях предпочтительнее наказания.")</f>
        <v>Восстановительное правосудие в некоторых случаях предпочтительнее наказания.</v>
      </c>
      <c r="H23" s="5" t="str">
        <f>IFERROR(__xludf.DUMMYFUNCTION("GOOGLETRANSLATE(A23,""en"",""ar"")"),"العدالة التصالحية أفضل من العقاب في بعض الجرائم.")</f>
        <v>العدالة التصالحية أفضل من العقاب في بعض الجرائم.</v>
      </c>
      <c r="I23" s="5" t="str">
        <f>IFERROR(__xludf.DUMMYFUNCTION("GOOGLETRANSLATE(A23,""en"",""fa"")"),"عدالت ترمیمی در برخی از جرایم بهتر از مجازات است.")</f>
        <v>عدالت ترمیمی در برخی از جرایم بهتر از مجازات است.</v>
      </c>
      <c r="J23" s="5" t="str">
        <f>IFERROR(__xludf.DUMMYFUNCTION("GOOGLETRANSLATE(A23,""en"",""am"")"),"ለአንዳንድ ወንጀሎች ከሚደርስ ቅጣት ይልቅ የመልሶ ማቋቋም ፍትህ የተሻለ ነው።")</f>
        <v>ለአንዳንድ ወንጀሎች ከሚደርስ ቅጣት ይልቅ የመልሶ ማቋቋም ፍትህ የተሻለ ነው።</v>
      </c>
      <c r="K23" s="5" t="str">
        <f>IFERROR(__xludf.DUMMYFUNCTION("GOOGLETRANSLATE(A23,""en"",""es"")"),"La justicia restaurativa es mejor que el castigo para algunos delitos.")</f>
        <v>La justicia restaurativa es mejor que el castigo para algunos delitos.</v>
      </c>
      <c r="L23" s="5" t="str">
        <f>IFERROR(__xludf.DUMMYFUNCTION("GOOGLETRANSLATE(A23,""en"",""es-419"")"),"La justicia restaurativa es mejor que el castigo para algunos delitos.")</f>
        <v>La justicia restaurativa es mejor que el castigo para algunos delitos.</v>
      </c>
    </row>
    <row r="24">
      <c r="A24" s="4" t="s">
        <v>40</v>
      </c>
      <c r="B24" s="4" t="s">
        <v>13</v>
      </c>
      <c r="C24" s="4" t="s">
        <v>38</v>
      </c>
      <c r="D24" s="5" t="str">
        <f>IFERROR(__xludf.DUMMYFUNCTION("GOOGLETRANSLATE(A24,""en"",""hi"")"),"न्यायाधीशों को सजा सुनाने में अधिक स्वतंत्रता की आवश्यकता है।")</f>
        <v>न्यायाधीशों को सजा सुनाने में अधिक स्वतंत्रता की आवश्यकता है।</v>
      </c>
      <c r="E24" s="5" t="str">
        <f>IFERROR(__xludf.DUMMYFUNCTION("GOOGLETRANSLATE(A24,""en"",""zh-CN"")"),"法官在量刑方面需要更大的自由裁量权。")</f>
        <v>法官在量刑方面需要更大的自由裁量权。</v>
      </c>
      <c r="F24" s="5" t="str">
        <f>IFERROR(__xludf.DUMMYFUNCTION("GOOGLETRANSLATE(A24,""en"",""fr"")"),"Les juges ont besoin de plus de latitude dans le prononcé des peines.")</f>
        <v>Les juges ont besoin de plus de latitude dans le prononcé des peines.</v>
      </c>
      <c r="G24" s="5" t="str">
        <f>IFERROR(__xludf.DUMMYFUNCTION("GOOGLETRANSLATE(A24,""en"",""ru"")"),"Судьям необходимо больше свободы при вынесении приговоров.")</f>
        <v>Судьям необходимо больше свободы при вынесении приговоров.</v>
      </c>
      <c r="H24" s="5" t="str">
        <f>IFERROR(__xludf.DUMMYFUNCTION("GOOGLETRANSLATE(A24,""en"",""ar"")"),"يحتاج القضاة إلى مزيد من الحرية في إصدار الأحكام.")</f>
        <v>يحتاج القضاة إلى مزيد من الحرية في إصدار الأحكام.</v>
      </c>
      <c r="I24" s="5" t="str">
        <f>IFERROR(__xludf.DUMMYFUNCTION("GOOGLETRANSLATE(A24,""en"",""fa"")"),"قضات در صدور حکم به آزادی بیشتری نیاز دارند.")</f>
        <v>قضات در صدور حکم به آزادی بیشتری نیاز دارند.</v>
      </c>
      <c r="J24" s="5" t="str">
        <f>IFERROR(__xludf.DUMMYFUNCTION("GOOGLETRANSLATE(A24,""en"",""am"")"),"ዳኞች በፍርድ አሰጣጥ ረገድ የበለጠ ነፃነት ያስፈልጋቸዋል።")</f>
        <v>ዳኞች በፍርድ አሰጣጥ ረገድ የበለጠ ነፃነት ያስፈልጋቸዋል።</v>
      </c>
      <c r="K24" s="5" t="str">
        <f>IFERROR(__xludf.DUMMYFUNCTION("GOOGLETRANSLATE(A24,""en"",""es"")"),"Los jueces necesitan más libertad a la hora de dictar sentencia.")</f>
        <v>Los jueces necesitan más libertad a la hora de dictar sentencia.</v>
      </c>
      <c r="L24" s="5" t="str">
        <f>IFERROR(__xludf.DUMMYFUNCTION("GOOGLETRANSLATE(A24,""en"",""es-419"")"),"Los jueces necesitan más libertad a la hora de dictar sentencia.")</f>
        <v>Los jueces necesitan más libertad a la hora de dictar sentencia.</v>
      </c>
    </row>
    <row r="25">
      <c r="A25" s="4" t="s">
        <v>41</v>
      </c>
      <c r="B25" s="4" t="s">
        <v>13</v>
      </c>
      <c r="C25" s="4" t="s">
        <v>38</v>
      </c>
      <c r="D25" s="5" t="str">
        <f>IFERROR(__xludf.DUMMYFUNCTION("GOOGLETRANSLATE(A25,""en"",""hi"")"),"पुलिस को बिना दोष सिद्ध हुए संपत्ति जब्त करने की अनुमति नहीं दी जानी चाहिए।")</f>
        <v>पुलिस को बिना दोष सिद्ध हुए संपत्ति जब्त करने की अनुमति नहीं दी जानी चाहिए।</v>
      </c>
      <c r="E25" s="5" t="str">
        <f>IFERROR(__xludf.DUMMYFUNCTION("GOOGLETRANSLATE(A25,""en"",""zh-CN"")"),"警方不应被允许在未定罪的情况下没收财产。")</f>
        <v>警方不应被允许在未定罪的情况下没收财产。</v>
      </c>
      <c r="F25" s="5" t="str">
        <f>IFERROR(__xludf.DUMMYFUNCTION("GOOGLETRANSLATE(A25,""en"",""fr"")"),"La police ne devrait pas être autorisée à saisir des biens sans condamnation.")</f>
        <v>La police ne devrait pas être autorisée à saisir des biens sans condamnation.</v>
      </c>
      <c r="G25" s="5" t="str">
        <f>IFERROR(__xludf.DUMMYFUNCTION("GOOGLETRANSLATE(A25,""en"",""ru"")"),"Полиции не должно быть позволено изымать активы без вынесения обвинительного приговора.")</f>
        <v>Полиции не должно быть позволено изымать активы без вынесения обвинительного приговора.</v>
      </c>
      <c r="H25" s="5" t="str">
        <f>IFERROR(__xludf.DUMMYFUNCTION("GOOGLETRANSLATE(A25,""en"",""ar"")"),"لا ينبغي السماح للشرطة بمصادرة الأصول دون إدانة.")</f>
        <v>لا ينبغي السماح للشرطة بمصادرة الأصول دون إدانة.</v>
      </c>
      <c r="I25" s="5" t="str">
        <f>IFERROR(__xludf.DUMMYFUNCTION("GOOGLETRANSLATE(A25,""en"",""fa"")"),"پلیس نباید اجازه داشته باشد بدون محکومیت، دارایی‌ها را توقیف کند.")</f>
        <v>پلیس نباید اجازه داشته باشد بدون محکومیت، دارایی‌ها را توقیف کند.</v>
      </c>
      <c r="J25" s="5" t="str">
        <f>IFERROR(__xludf.DUMMYFUNCTION("GOOGLETRANSLATE(A25,""en"",""am"")"),"ፖሊስ ያለ ፍርድ ንብረትን እንዲይዝ ሊፈቀድለት አይገባም።")</f>
        <v>ፖሊስ ያለ ፍርድ ንብረትን እንዲይዝ ሊፈቀድለት አይገባም።</v>
      </c>
      <c r="K25" s="5" t="str">
        <f>IFERROR(__xludf.DUMMYFUNCTION("GOOGLETRANSLATE(A25,""en"",""es"")"),"No se debería permitir que la policía confisque bienes sin una condena.")</f>
        <v>No se debería permitir que la policía confisque bienes sin una condena.</v>
      </c>
      <c r="L25" s="5" t="str">
        <f>IFERROR(__xludf.DUMMYFUNCTION("GOOGLETRANSLATE(A25,""en"",""es-419"")"),"No se debería permitir que la policía confisque bienes sin una condena.")</f>
        <v>No se debería permitir que la policía confisque bienes sin una condena.</v>
      </c>
    </row>
    <row r="26">
      <c r="A26" s="4" t="s">
        <v>42</v>
      </c>
      <c r="B26" s="4" t="s">
        <v>13</v>
      </c>
      <c r="C26" s="4" t="s">
        <v>38</v>
      </c>
      <c r="D26" s="5" t="str">
        <f>IFERROR(__xludf.DUMMYFUNCTION("GOOGLETRANSLATE(A26,""en"",""hi"")"),"कुछ ऐसे अपराध जिनमें कोई पीड़ित नहीं होता, उन्हें गैरकानूनी नहीं माना जाना चाहिए।")</f>
        <v>कुछ ऐसे अपराध जिनमें कोई पीड़ित नहीं होता, उन्हें गैरकानूनी नहीं माना जाना चाहिए।</v>
      </c>
      <c r="E26" s="5" t="str">
        <f>IFERROR(__xludf.DUMMYFUNCTION("GOOGLETRANSLATE(A26,""en"",""zh-CN"")"),"有些没有受害者的犯罪行为不应该被定为非法。")</f>
        <v>有些没有受害者的犯罪行为不应该被定为非法。</v>
      </c>
      <c r="F26" s="5" t="str">
        <f>IFERROR(__xludf.DUMMYFUNCTION("GOOGLETRANSLATE(A26,""en"",""fr"")"),"Certains crimes sans victimes ne devraient pas être illégaux.")</f>
        <v>Certains crimes sans victimes ne devraient pas être illégaux.</v>
      </c>
      <c r="G26" s="5" t="str">
        <f>IFERROR(__xludf.DUMMYFUNCTION("GOOGLETRANSLATE(A26,""en"",""ru"")"),"Некоторые преступления, в которых нет жертв, не должны быть незаконными.")</f>
        <v>Некоторые преступления, в которых нет жертв, не должны быть незаконными.</v>
      </c>
      <c r="H26" s="5" t="str">
        <f>IFERROR(__xludf.DUMMYFUNCTION("GOOGLETRANSLATE(A26,""en"",""ar"")"),"بعض الجرائم التي لا ضحايا لها لا ينبغي أن تكون غير قانونية.")</f>
        <v>بعض الجرائم التي لا ضحايا لها لا ينبغي أن تكون غير قانونية.</v>
      </c>
      <c r="I26" s="5" t="str">
        <f>IFERROR(__xludf.DUMMYFUNCTION("GOOGLETRANSLATE(A26,""en"",""fa"")"),"برخی از جرایم بدون قربانی نباید غیرقانونی باشند.")</f>
        <v>برخی از جرایم بدون قربانی نباید غیرقانونی باشند.</v>
      </c>
      <c r="J26" s="5" t="str">
        <f>IFERROR(__xludf.DUMMYFUNCTION("GOOGLETRANSLATE(A26,""en"",""am"")"),"ተጎጂዎች የሌሏቸው አንዳንድ ወንጀሎች ሕገ-ወጥ መሆን የለባቸውም።")</f>
        <v>ተጎጂዎች የሌሏቸው አንዳንድ ወንጀሎች ሕገ-ወጥ መሆን የለባቸውም።</v>
      </c>
      <c r="K26" s="5" t="str">
        <f>IFERROR(__xludf.DUMMYFUNCTION("GOOGLETRANSLATE(A26,""en"",""es"")"),"Algunos delitos sin víctimas no deberían ser ilegales.")</f>
        <v>Algunos delitos sin víctimas no deberían ser ilegales.</v>
      </c>
      <c r="L26" s="5" t="str">
        <f>IFERROR(__xludf.DUMMYFUNCTION("GOOGLETRANSLATE(A26,""en"",""es-419"")"),"Algunos delitos sin víctimas no deberían ser ilegales.")</f>
        <v>Algunos delitos sin víctimas no deberían ser ilegales.</v>
      </c>
    </row>
    <row r="27">
      <c r="A27" s="4" t="s">
        <v>43</v>
      </c>
      <c r="B27" s="4" t="s">
        <v>44</v>
      </c>
      <c r="C27" s="4" t="s">
        <v>14</v>
      </c>
      <c r="D27" s="5" t="str">
        <f>IFERROR(__xludf.DUMMYFUNCTION("GOOGLETRANSLATE(A27,""en"",""hi"")"),"सरकार को सभी को रोजगार की गारंटी देनी चाहिए।")</f>
        <v>सरकार को सभी को रोजगार की गारंटी देनी चाहिए।</v>
      </c>
      <c r="E27" s="5" t="str">
        <f>IFERROR(__xludf.DUMMYFUNCTION("GOOGLETRANSLATE(A27,""en"",""zh-CN"")"),"政府应该保障人人有工作。")</f>
        <v>政府应该保障人人有工作。</v>
      </c>
      <c r="F27" s="5" t="str">
        <f>IFERROR(__xludf.DUMMYFUNCTION("GOOGLETRANSLATE(A27,""en"",""fr"")"),"Le gouvernement devrait garantir un emploi à tous.")</f>
        <v>Le gouvernement devrait garantir un emploi à tous.</v>
      </c>
      <c r="G27" s="5" t="str">
        <f>IFERROR(__xludf.DUMMYFUNCTION("GOOGLETRANSLATE(A27,""en"",""ru"")"),"Правительство должно гарантировать каждому человеку работу.")</f>
        <v>Правительство должно гарантировать каждому человеку работу.</v>
      </c>
      <c r="H27" s="5" t="str">
        <f>IFERROR(__xludf.DUMMYFUNCTION("GOOGLETRANSLATE(A27,""en"",""ar"")"),"ينبغي على الحكومة أن تضمن وظيفة للجميع.")</f>
        <v>ينبغي على الحكومة أن تضمن وظيفة للجميع.</v>
      </c>
      <c r="I27" s="5" t="str">
        <f>IFERROR(__xludf.DUMMYFUNCTION("GOOGLETRANSLATE(A27,""en"",""fa"")"),"دولت باید برای همه شغل تضمین کند.")</f>
        <v>دولت باید برای همه شغل تضمین کند.</v>
      </c>
      <c r="J27" s="5" t="str">
        <f>IFERROR(__xludf.DUMMYFUNCTION("GOOGLETRANSLATE(A27,""en"",""am"")"),"መንግስት ለሁሉም ሰው የሥራ ዋስትና መስጠት አለበት።")</f>
        <v>መንግስት ለሁሉም ሰው የሥራ ዋስትና መስጠት አለበት።</v>
      </c>
      <c r="K27" s="5" t="str">
        <f>IFERROR(__xludf.DUMMYFUNCTION("GOOGLETRANSLATE(A27,""en"",""es"")"),"El gobierno debería garantizar un trabajo a todo el mundo.")</f>
        <v>El gobierno debería garantizar un trabajo a todo el mundo.</v>
      </c>
      <c r="L27" s="5" t="str">
        <f>IFERROR(__xludf.DUMMYFUNCTION("GOOGLETRANSLATE(A27,""en"",""es-419"")"),"El gobierno debería garantizar un trabajo a todo el mundo.")</f>
        <v>El gobierno debería garantizar un trabajo a todo el mundo.</v>
      </c>
    </row>
    <row r="28">
      <c r="A28" s="4" t="s">
        <v>45</v>
      </c>
      <c r="B28" s="4" t="s">
        <v>44</v>
      </c>
      <c r="C28" s="4" t="s">
        <v>14</v>
      </c>
      <c r="D28" s="5" t="str">
        <f>IFERROR(__xludf.DUMMYFUNCTION("GOOGLETRANSLATE(A28,""en"",""hi"")"),"वैश्विक कॉर्पोरेट कर एक समान होने चाहिए।")</f>
        <v>वैश्विक कॉर्पोरेट कर एक समान होने चाहिए।</v>
      </c>
      <c r="E28" s="5" t="str">
        <f>IFERROR(__xludf.DUMMYFUNCTION("GOOGLETRANSLATE(A28,""en"",""zh-CN"")"),"全球企业税收应该保持一致。")</f>
        <v>全球企业税收应该保持一致。</v>
      </c>
      <c r="F28" s="5" t="str">
        <f>IFERROR(__xludf.DUMMYFUNCTION("GOOGLETRANSLATE(A28,""en"",""fr"")"),"Les impôts sur les sociétés à l'échelle mondiale devraient être uniformes.")</f>
        <v>Les impôts sur les sociétés à l'échelle mondiale devraient être uniformes.</v>
      </c>
      <c r="G28" s="5" t="str">
        <f>IFERROR(__xludf.DUMMYFUNCTION("GOOGLETRANSLATE(A28,""en"",""ru"")"),"Глобальные корпоративные налоги должны быть единообразными.")</f>
        <v>Глобальные корпоративные налоги должны быть единообразными.</v>
      </c>
      <c r="H28" s="5" t="str">
        <f>IFERROR(__xludf.DUMMYFUNCTION("GOOGLETRANSLATE(A28,""en"",""ar"")"),"ينبغي أن تكون ضرائب الشركات العالمية متسقة.")</f>
        <v>ينبغي أن تكون ضرائب الشركات العالمية متسقة.</v>
      </c>
      <c r="I28" s="5" t="str">
        <f>IFERROR(__xludf.DUMMYFUNCTION("GOOGLETRANSLATE(A28,""en"",""fa"")"),"مالیات‌های شرکتی جهانی باید ثابت باشند.")</f>
        <v>مالیات‌های شرکتی جهانی باید ثابت باشند.</v>
      </c>
      <c r="J28" s="5" t="str">
        <f>IFERROR(__xludf.DUMMYFUNCTION("GOOGLETRANSLATE(A28,""en"",""am"")"),"ዓለም አቀፍ የኮርፖሬት ግብሮች ወጥነት ያላቸው መሆን አለባቸው።")</f>
        <v>ዓለም አቀፍ የኮርፖሬት ግብሮች ወጥነት ያላቸው መሆን አለባቸው።</v>
      </c>
      <c r="K28" s="5" t="str">
        <f>IFERROR(__xludf.DUMMYFUNCTION("GOOGLETRANSLATE(A28,""en"",""es"")"),"Los impuestos corporativos globales deberían ser coherentes.")</f>
        <v>Los impuestos corporativos globales deberían ser coherentes.</v>
      </c>
      <c r="L28" s="5" t="str">
        <f>IFERROR(__xludf.DUMMYFUNCTION("GOOGLETRANSLATE(A28,""en"",""es-419"")"),"Los impuestos corporativos globales deberían ser coherentes.")</f>
        <v>Los impuestos corporativos globales deberían ser coherentes.</v>
      </c>
    </row>
    <row r="29">
      <c r="A29" s="4" t="s">
        <v>46</v>
      </c>
      <c r="B29" s="4" t="s">
        <v>44</v>
      </c>
      <c r="C29" s="4" t="s">
        <v>14</v>
      </c>
      <c r="D29" s="5" t="str">
        <f>IFERROR(__xludf.DUMMYFUNCTION("GOOGLETRANSLATE(A29,""en"",""hi"")"),"केंद्रीय बैंकों का अधिक गहनता से ऑडिट किया जाना चाहिए।")</f>
        <v>केंद्रीय बैंकों का अधिक गहनता से ऑडिट किया जाना चाहिए।</v>
      </c>
      <c r="E29" s="5" t="str">
        <f>IFERROR(__xludf.DUMMYFUNCTION("GOOGLETRANSLATE(A29,""en"",""zh-CN"")"),"应该对中央银行进行更严格的审计。")</f>
        <v>应该对中央银行进行更严格的审计。</v>
      </c>
      <c r="F29" s="5" t="str">
        <f>IFERROR(__xludf.DUMMYFUNCTION("GOOGLETRANSLATE(A29,""en"",""fr"")"),"Les banques centrales devraient faire l'objet d'audits plus rigoureux.")</f>
        <v>Les banques centrales devraient faire l'objet d'audits plus rigoureux.</v>
      </c>
      <c r="G29" s="5" t="str">
        <f>IFERROR(__xludf.DUMMYFUNCTION("GOOGLETRANSLATE(A29,""en"",""ru"")"),"Центральные банки следует подвергать более тщательному аудиту.")</f>
        <v>Центральные банки следует подвергать более тщательному аудиту.</v>
      </c>
      <c r="H29" s="5" t="str">
        <f>IFERROR(__xludf.DUMMYFUNCTION("GOOGLETRANSLATE(A29,""en"",""ar"")"),"ينبغي تدقيق حسابات البنوك المركزية بشكل أكثر دقة.")</f>
        <v>ينبغي تدقيق حسابات البنوك المركزية بشكل أكثر دقة.</v>
      </c>
      <c r="I29" s="5" t="str">
        <f>IFERROR(__xludf.DUMMYFUNCTION("GOOGLETRANSLATE(A29,""en"",""fa"")"),"بانک‌های مرکزی باید با دقت بیشتری حسابرسی شوند.")</f>
        <v>بانک‌های مرکزی باید با دقت بیشتری حسابرسی شوند.</v>
      </c>
      <c r="J29" s="5" t="str">
        <f>IFERROR(__xludf.DUMMYFUNCTION("GOOGLETRANSLATE(A29,""en"",""am"")"),"ማዕከላዊ ባንኮች የበለጠ በቅርበት ኦዲት ሊደረግባቸው ይገባል።")</f>
        <v>ማዕከላዊ ባንኮች የበለጠ በቅርበት ኦዲት ሊደረግባቸው ይገባል።</v>
      </c>
      <c r="K29" s="5" t="str">
        <f>IFERROR(__xludf.DUMMYFUNCTION("GOOGLETRANSLATE(A29,""en"",""es"")"),"Los bancos centrales deberían ser auditados con mayor rigor.")</f>
        <v>Los bancos centrales deberían ser auditados con mayor rigor.</v>
      </c>
      <c r="L29" s="5" t="str">
        <f>IFERROR(__xludf.DUMMYFUNCTION("GOOGLETRANSLATE(A29,""en"",""es-419"")"),"Los bancos centrales deberían ser auditados con mayor rigor.")</f>
        <v>Los bancos centrales deberían ser auditados con mayor rigor.</v>
      </c>
    </row>
    <row r="30">
      <c r="A30" s="4" t="s">
        <v>47</v>
      </c>
      <c r="B30" s="4" t="s">
        <v>44</v>
      </c>
      <c r="C30" s="4" t="s">
        <v>14</v>
      </c>
      <c r="D30" s="5" t="str">
        <f>IFERROR(__xludf.DUMMYFUNCTION("GOOGLETRANSLATE(A30,""en"",""hi"")"),"कर्मचारियों के वेतन की तुलना में सीईओ का वेतन सीमित होना चाहिए।")</f>
        <v>कर्मचारियों के वेतन की तुलना में सीईओ का वेतन सीमित होना चाहिए।</v>
      </c>
      <c r="E30" s="5" t="str">
        <f>IFERROR(__xludf.DUMMYFUNCTION("GOOGLETRANSLATE(A30,""en"",""zh-CN"")"),"与普通员工薪酬相比，首席执行官的薪酬应该受到限制。")</f>
        <v>与普通员工薪酬相比，首席执行官的薪酬应该受到限制。</v>
      </c>
      <c r="F30" s="5" t="str">
        <f>IFERROR(__xludf.DUMMYFUNCTION("GOOGLETRANSLATE(A30,""en"",""fr"")"),"La rémunération des PDG devrait être limitée par rapport à celle des employés.")</f>
        <v>La rémunération des PDG devrait être limitée par rapport à celle des employés.</v>
      </c>
      <c r="G30" s="5" t="str">
        <f>IFERROR(__xludf.DUMMYFUNCTION("GOOGLETRANSLATE(A30,""en"",""ru"")"),"Заработная плата генерального директора должна быть ограничена по сравнению с заработной платой работника.")</f>
        <v>Заработная плата генерального директора должна быть ограничена по сравнению с заработной платой работника.</v>
      </c>
      <c r="H30" s="5" t="str">
        <f>IFERROR(__xludf.DUMMYFUNCTION("GOOGLETRANSLATE(A30,""en"",""ar"")"),"ينبغي أن تكون رواتب الرؤساء التنفيذيين محدودة مقارنة برواتب العمال.")</f>
        <v>ينبغي أن تكون رواتب الرؤساء التنفيذيين محدودة مقارنة برواتب العمال.</v>
      </c>
      <c r="I30" s="5" t="str">
        <f>IFERROR(__xludf.DUMMYFUNCTION("GOOGLETRANSLATE(A30,""en"",""fa"")"),"حقوق مدیرعامل باید در مقایسه با حقوق کارگران محدود شود.")</f>
        <v>حقوق مدیرعامل باید در مقایسه با حقوق کارگران محدود شود.</v>
      </c>
      <c r="J30" s="5" t="str">
        <f>IFERROR(__xludf.DUMMYFUNCTION("GOOGLETRANSLATE(A30,""en"",""am"")"),"የዋና ሥራ አስፈፃሚ ክፍያ ከሠራተኛ ክፍያ ጋር ሲነጻጸር የተገደበ መሆን አለበት።")</f>
        <v>የዋና ሥራ አስፈፃሚ ክፍያ ከሠራተኛ ክፍያ ጋር ሲነጻጸር የተገደበ መሆን አለበት።</v>
      </c>
      <c r="K30" s="5" t="str">
        <f>IFERROR(__xludf.DUMMYFUNCTION("GOOGLETRANSLATE(A30,""en"",""es"")"),"La remuneración de los directores ejecutivos debería ser limitada en comparación con la de los trabajadores.")</f>
        <v>La remuneración de los directores ejecutivos debería ser limitada en comparación con la de los trabajadores.</v>
      </c>
      <c r="L30" s="5" t="str">
        <f>IFERROR(__xludf.DUMMYFUNCTION("GOOGLETRANSLATE(A30,""en"",""es-419"")"),"La remuneración de los directores ejecutivos debería ser limitada en comparación con la de los trabajadores.")</f>
        <v>La remuneración de los directores ejecutivos debería ser limitada en comparación con la de los trabajadores.</v>
      </c>
    </row>
    <row r="31">
      <c r="A31" s="4" t="s">
        <v>48</v>
      </c>
      <c r="B31" s="4" t="s">
        <v>44</v>
      </c>
      <c r="C31" s="4" t="s">
        <v>14</v>
      </c>
      <c r="D31" s="5" t="str">
        <f>IFERROR(__xludf.DUMMYFUNCTION("GOOGLETRANSLATE(A31,""en"",""hi"")"),"कंपनियों के बोर्ड में यूनियनों का प्रतिनिधित्व होना चाहिए।")</f>
        <v>कंपनियों के बोर्ड में यूनियनों का प्रतिनिधित्व होना चाहिए।</v>
      </c>
      <c r="E31" s="5" t="str">
        <f>IFERROR(__xludf.DUMMYFUNCTION("GOOGLETRANSLATE(A31,""en"",""zh-CN"")"),"工会应该在公司董事会中占有一席之地。")</f>
        <v>工会应该在公司董事会中占有一席之地。</v>
      </c>
      <c r="F31" s="5" t="str">
        <f>IFERROR(__xludf.DUMMYFUNCTION("GOOGLETRANSLATE(A31,""en"",""fr"")"),"Les syndicats devraient être représentés au sein des conseils d'administration des entreprises.")</f>
        <v>Les syndicats devraient être représentés au sein des conseils d'administration des entreprises.</v>
      </c>
      <c r="G31" s="5" t="str">
        <f>IFERROR(__xludf.DUMMYFUNCTION("GOOGLETRANSLATE(A31,""en"",""ru"")"),"Профсоюзы должны быть представлены в советах директоров компаний.")</f>
        <v>Профсоюзы должны быть представлены в советах директоров компаний.</v>
      </c>
      <c r="H31" s="5" t="str">
        <f>IFERROR(__xludf.DUMMYFUNCTION("GOOGLETRANSLATE(A31,""en"",""ar"")"),"ينبغي تمثيل النقابات في مجالس إدارة الشركات.")</f>
        <v>ينبغي تمثيل النقابات في مجالس إدارة الشركات.</v>
      </c>
      <c r="I31" s="5" t="str">
        <f>IFERROR(__xludf.DUMMYFUNCTION("GOOGLETRANSLATE(A31,""en"",""fa"")"),"اتحادیه‌ها باید در هیئت مدیره شرکت‌ها نماینده داشته باشند.")</f>
        <v>اتحادیه‌ها باید در هیئت مدیره شرکت‌ها نماینده داشته باشند.</v>
      </c>
      <c r="J31" s="5" t="str">
        <f>IFERROR(__xludf.DUMMYFUNCTION("GOOGLETRANSLATE(A31,""en"",""am"")"),"ማህበራት በኩባንያ ቦርዶች ውስጥ መወከል አለባቸው።")</f>
        <v>ማህበራት በኩባንያ ቦርዶች ውስጥ መወከል አለባቸው።</v>
      </c>
      <c r="K31" s="5" t="str">
        <f>IFERROR(__xludf.DUMMYFUNCTION("GOOGLETRANSLATE(A31,""en"",""es"")"),"Los sindicatos deben estar representados en los consejos de administración de las empresas.")</f>
        <v>Los sindicatos deben estar representados en los consejos de administración de las empresas.</v>
      </c>
      <c r="L31" s="5" t="str">
        <f>IFERROR(__xludf.DUMMYFUNCTION("GOOGLETRANSLATE(A31,""en"",""es-419"")"),"Los sindicatos deben estar representados en los consejos de administración de las empresas.")</f>
        <v>Los sindicatos deben estar representados en los consejos de administración de las empresas.</v>
      </c>
    </row>
    <row r="32">
      <c r="A32" s="4" t="s">
        <v>49</v>
      </c>
      <c r="B32" s="4" t="s">
        <v>44</v>
      </c>
      <c r="C32" s="4" t="s">
        <v>20</v>
      </c>
      <c r="D32" s="5" t="str">
        <f>IFERROR(__xludf.DUMMYFUNCTION("GOOGLETRANSLATE(A32,""en"",""hi"")"),"जो कंपनियां नौकरियों को विदेशों में स्थानांतरित करती हैं, उन्हें अधिक करों का भुगतान करना चाहिए।")</f>
        <v>जो कंपनियां नौकरियों को विदेशों में स्थानांतरित करती हैं, उन्हें अधिक करों का भुगतान करना चाहिए।</v>
      </c>
      <c r="E32" s="5" t="str">
        <f>IFERROR(__xludf.DUMMYFUNCTION("GOOGLETRANSLATE(A32,""en"",""zh-CN"")"),"将工作岗位转移到海外的公司应该缴纳更多税款。")</f>
        <v>将工作岗位转移到海外的公司应该缴纳更多税款。</v>
      </c>
      <c r="F32" s="5" t="str">
        <f>IFERROR(__xludf.DUMMYFUNCTION("GOOGLETRANSLATE(A32,""en"",""fr"")"),"Les entreprises qui délocalisent des emplois devraient payer plus d'impôts.")</f>
        <v>Les entreprises qui délocalisent des emplois devraient payer plus d'impôts.</v>
      </c>
      <c r="G32" s="5" t="str">
        <f>IFERROR(__xludf.DUMMYFUNCTION("GOOGLETRANSLATE(A32,""en"",""ru"")"),"Компании, которые переносят рабочие места за границу, должны платить больше налогов.")</f>
        <v>Компании, которые переносят рабочие места за границу, должны платить больше налогов.</v>
      </c>
      <c r="H32" s="5" t="str">
        <f>IFERROR(__xludf.DUMMYFUNCTION("GOOGLETRANSLATE(A32,""en"",""ar"")"),"ينبغي على الشركات التي تنقل وظائفها إلى الخارج أن تدفع ضرائب أكثر.")</f>
        <v>ينبغي على الشركات التي تنقل وظائفها إلى الخارج أن تدفع ضرائب أكثر.</v>
      </c>
      <c r="I32" s="5" t="str">
        <f>IFERROR(__xludf.DUMMYFUNCTION("GOOGLETRANSLATE(A32,""en"",""fa"")"),"شرکت‌هایی که مشاغل را به خارج از کشور منتقل می‌کنند باید مالیات بیشتری بپردازند.")</f>
        <v>شرکت‌هایی که مشاغل را به خارج از کشور منتقل می‌کنند باید مالیات بیشتری بپردازند.</v>
      </c>
      <c r="J32" s="5" t="str">
        <f>IFERROR(__xludf.DUMMYFUNCTION("GOOGLETRANSLATE(A32,""en"",""am"")"),"ወደ ውጭ አገር ሥራ የሚያዛውሩ ኩባንያዎች ተጨማሪ ግብር መክፈል አለባቸው።")</f>
        <v>ወደ ውጭ አገር ሥራ የሚያዛውሩ ኩባንያዎች ተጨማሪ ግብር መክፈል አለባቸው።</v>
      </c>
      <c r="K32" s="5" t="str">
        <f>IFERROR(__xludf.DUMMYFUNCTION("GOOGLETRANSLATE(A32,""en"",""es"")"),"Las empresas que trasladan puestos de trabajo al extranjero deberían pagar más impuestos.")</f>
        <v>Las empresas que trasladan puestos de trabajo al extranjero deberían pagar más impuestos.</v>
      </c>
      <c r="L32" s="5" t="str">
        <f>IFERROR(__xludf.DUMMYFUNCTION("GOOGLETRANSLATE(A32,""en"",""es-419"")"),"Las empresas que trasladan puestos de trabajo al extranjero deberían pagar más impuestos.")</f>
        <v>Las empresas que trasladan puestos de trabajo al extranjero deberían pagar más impuestos.</v>
      </c>
    </row>
    <row r="33">
      <c r="A33" s="4" t="s">
        <v>50</v>
      </c>
      <c r="B33" s="4" t="s">
        <v>44</v>
      </c>
      <c r="C33" s="4" t="s">
        <v>20</v>
      </c>
      <c r="D33" s="5" t="str">
        <f>IFERROR(__xludf.DUMMYFUNCTION("GOOGLETRANSLATE(A33,""en"",""hi"")"),"व्यापार घाटा किसी देश की अर्थव्यवस्था को नुकसान पहुंचाता है।")</f>
        <v>व्यापार घाटा किसी देश की अर्थव्यवस्था को नुकसान पहुंचाता है।</v>
      </c>
      <c r="E33" s="5" t="str">
        <f>IFERROR(__xludf.DUMMYFUNCTION("GOOGLETRANSLATE(A33,""en"",""zh-CN"")"),"贸易逆差会损害一个国家的经济。")</f>
        <v>贸易逆差会损害一个国家的经济。</v>
      </c>
      <c r="F33" s="5" t="str">
        <f>IFERROR(__xludf.DUMMYFUNCTION("GOOGLETRANSLATE(A33,""en"",""fr"")"),"Les déficits commerciaux nuisent à l'économie d'un pays.")</f>
        <v>Les déficits commerciaux nuisent à l'économie d'un pays.</v>
      </c>
      <c r="G33" s="5" t="str">
        <f>IFERROR(__xludf.DUMMYFUNCTION("GOOGLETRANSLATE(A33,""en"",""ru"")"),"Торговый дефицит наносит ущерб экономике страны.")</f>
        <v>Торговый дефицит наносит ущерб экономике страны.</v>
      </c>
      <c r="H33" s="5" t="str">
        <f>IFERROR(__xludf.DUMMYFUNCTION("GOOGLETRANSLATE(A33,""en"",""ar"")"),"تُلحق العجوزات التجارية الضرر باقتصاد الدولة.")</f>
        <v>تُلحق العجوزات التجارية الضرر باقتصاد الدولة.</v>
      </c>
      <c r="I33" s="5" t="str">
        <f>IFERROR(__xludf.DUMMYFUNCTION("GOOGLETRANSLATE(A33,""en"",""fa"")"),"کسری تجاری به اقتصاد یک کشور آسیب می‌رساند.")</f>
        <v>کسری تجاری به اقتصاد یک کشور آسیب می‌رساند.</v>
      </c>
      <c r="J33" s="5" t="str">
        <f>IFERROR(__xludf.DUMMYFUNCTION("GOOGLETRANSLATE(A33,""en"",""am"")"),"የንግድ እጥረት የአንድን ሀገር ኢኮኖሚ ይጎዳል።")</f>
        <v>የንግድ እጥረት የአንድን ሀገር ኢኮኖሚ ይጎዳል።</v>
      </c>
      <c r="K33" s="5" t="str">
        <f>IFERROR(__xludf.DUMMYFUNCTION("GOOGLETRANSLATE(A33,""en"",""es"")"),"Los déficits comerciales perjudican la economía de un país.")</f>
        <v>Los déficits comerciales perjudican la economía de un país.</v>
      </c>
      <c r="L33" s="5" t="str">
        <f>IFERROR(__xludf.DUMMYFUNCTION("GOOGLETRANSLATE(A33,""en"",""es-419"")"),"Los déficits comerciales perjudican la economía de un país.")</f>
        <v>Los déficits comerciales perjudican la economía de un país.</v>
      </c>
    </row>
    <row r="34">
      <c r="A34" s="4" t="s">
        <v>51</v>
      </c>
      <c r="B34" s="4" t="s">
        <v>44</v>
      </c>
      <c r="C34" s="4" t="s">
        <v>20</v>
      </c>
      <c r="D34" s="5" t="str">
        <f>IFERROR(__xludf.DUMMYFUNCTION("GOOGLETRANSLATE(A34,""en"",""hi"")"),"सरकार को स्थानीय उत्पादों का ही इस्तेमाल करना चाहिए, भले ही इसमें अधिक खर्च आए।")</f>
        <v>सरकार को स्थानीय उत्पादों का ही इस्तेमाल करना चाहिए, भले ही इसमें अधिक खर्च आए।</v>
      </c>
      <c r="E34" s="5" t="str">
        <f>IFERROR(__xludf.DUMMYFUNCTION("GOOGLETRANSLATE(A34,""en"",""zh-CN"")"),"政府应该购买本地产品，即使成本更高。")</f>
        <v>政府应该购买本地产品，即使成本更高。</v>
      </c>
      <c r="F34" s="5" t="str">
        <f>IFERROR(__xludf.DUMMYFUNCTION("GOOGLETRANSLATE(A34,""en"",""fr"")"),"L'État devrait privilégier les achats locaux, même si cela coûte plus cher.")</f>
        <v>L'État devrait privilégier les achats locaux, même si cela coûte plus cher.</v>
      </c>
      <c r="G34" s="5" t="str">
        <f>IFERROR(__xludf.DUMMYFUNCTION("GOOGLETRANSLATE(A34,""en"",""ru"")"),"Правительство должно закупать товары местного производства, даже если это обходится дороже.")</f>
        <v>Правительство должно закупать товары местного производства, даже если это обходится дороже.</v>
      </c>
      <c r="H34" s="5" t="str">
        <f>IFERROR(__xludf.DUMMYFUNCTION("GOOGLETRANSLATE(A34,""en"",""ar"")"),"ينبغي على الحكومة شراء المنتجات المحلية، حتى لو كانت تكلفتها أعلى.")</f>
        <v>ينبغي على الحكومة شراء المنتجات المحلية، حتى لو كانت تكلفتها أعلى.</v>
      </c>
      <c r="I34" s="5" t="str">
        <f>IFERROR(__xludf.DUMMYFUNCTION("GOOGLETRANSLATE(A34,""en"",""fa"")"),"دولت باید کالاهای محلی بخرد، حتی اگر هزینه بیشتری داشته باشد.")</f>
        <v>دولت باید کالاهای محلی بخرد، حتی اگر هزینه بیشتری داشته باشد.</v>
      </c>
      <c r="J34" s="5" t="str">
        <f>IFERROR(__xludf.DUMMYFUNCTION("GOOGLETRANSLATE(A34,""en"",""am"")"),"መንግስት ተጨማሪ ወጪ ቢጠይቅም እንኳ የአካባቢውን መግዛት አለበት።")</f>
        <v>መንግስት ተጨማሪ ወጪ ቢጠይቅም እንኳ የአካባቢውን መግዛት አለበት።</v>
      </c>
      <c r="K34" s="5" t="str">
        <f>IFERROR(__xludf.DUMMYFUNCTION("GOOGLETRANSLATE(A34,""en"",""es"")"),"El gobierno debería comprar productos locales, aunque cuesten más.")</f>
        <v>El gobierno debería comprar productos locales, aunque cuesten más.</v>
      </c>
      <c r="L34" s="5" t="str">
        <f>IFERROR(__xludf.DUMMYFUNCTION("GOOGLETRANSLATE(A34,""en"",""es-419"")"),"El gobierno debería comprar productos locales, aunque cuesten más.")</f>
        <v>El gobierno debería comprar productos locales, aunque cuesten más.</v>
      </c>
    </row>
    <row r="35">
      <c r="A35" s="4" t="s">
        <v>52</v>
      </c>
      <c r="B35" s="4" t="s">
        <v>44</v>
      </c>
      <c r="C35" s="4" t="s">
        <v>20</v>
      </c>
      <c r="D35" s="5" t="str">
        <f>IFERROR(__xludf.DUMMYFUNCTION("GOOGLETRANSLATE(A35,""en"",""hi"")"),"कृषि संबंधी सब्सिडी राष्ट्रीय सुरक्षा के लिए महत्वपूर्ण है।")</f>
        <v>कृषि संबंधी सब्सिडी राष्ट्रीय सुरक्षा के लिए महत्वपूर्ण है।</v>
      </c>
      <c r="E35" s="5" t="str">
        <f>IFERROR(__xludf.DUMMYFUNCTION("GOOGLETRANSLATE(A35,""en"",""zh-CN"")"),"农业补贴对国家安全至关重要。")</f>
        <v>农业补贴对国家安全至关重要。</v>
      </c>
      <c r="F35" s="5" t="str">
        <f>IFERROR(__xludf.DUMMYFUNCTION("GOOGLETRANSLATE(A35,""en"",""fr"")"),"Les subventions agricoles sont importantes pour la sécurité nationale.")</f>
        <v>Les subventions agricoles sont importantes pour la sécurité nationale.</v>
      </c>
      <c r="G35" s="5" t="str">
        <f>IFERROR(__xludf.DUMMYFUNCTION("GOOGLETRANSLATE(A35,""en"",""ru"")"),"Сельскохозяйственные субсидии важны для национальной безопасности.")</f>
        <v>Сельскохозяйственные субсидии важны для национальной безопасности.</v>
      </c>
      <c r="H35" s="5" t="str">
        <f>IFERROR(__xludf.DUMMYFUNCTION("GOOGLETRANSLATE(A35,""en"",""ar"")"),"تُعدّ الإعانات الزراعية مهمة للأمن القومي.")</f>
        <v>تُعدّ الإعانات الزراعية مهمة للأمن القومي.</v>
      </c>
      <c r="I35" s="5" t="str">
        <f>IFERROR(__xludf.DUMMYFUNCTION("GOOGLETRANSLATE(A35,""en"",""fa"")"),"یارانه‌های کشاورزی برای امنیت ملی مهم هستند.")</f>
        <v>یارانه‌های کشاورزی برای امنیت ملی مهم هستند.</v>
      </c>
      <c r="J35" s="5" t="str">
        <f>IFERROR(__xludf.DUMMYFUNCTION("GOOGLETRANSLATE(A35,""en"",""am"")"),"የእርሻ ድጎማዎች ለአገር ደህንነት አስፈላጊ ናቸው።")</f>
        <v>የእርሻ ድጎማዎች ለአገር ደህንነት አስፈላጊ ናቸው።</v>
      </c>
      <c r="K35" s="5" t="str">
        <f>IFERROR(__xludf.DUMMYFUNCTION("GOOGLETRANSLATE(A35,""en"",""es"")"),"Los subsidios agrícolas son importantes para la seguridad nacional.")</f>
        <v>Los subsidios agrícolas son importantes para la seguridad nacional.</v>
      </c>
      <c r="L35" s="5" t="str">
        <f>IFERROR(__xludf.DUMMYFUNCTION("GOOGLETRANSLATE(A35,""en"",""es-419"")"),"Los subsidios agrícolas son importantes para la seguridad nacional.")</f>
        <v>Los subsidios agrícolas son importantes para la seguridad nacional.</v>
      </c>
    </row>
    <row r="36">
      <c r="A36" s="4" t="s">
        <v>53</v>
      </c>
      <c r="B36" s="4" t="s">
        <v>44</v>
      </c>
      <c r="C36" s="4" t="s">
        <v>20</v>
      </c>
      <c r="D36" s="5" t="str">
        <f>IFERROR(__xludf.DUMMYFUNCTION("GOOGLETRANSLATE(A36,""en"",""hi"")"),"क्रिप्टोकरेंसी को बैंकों की तरह विनियमित किया जाना चाहिए।")</f>
        <v>क्रिप्टोकरेंसी को बैंकों की तरह विनियमित किया जाना चाहिए।</v>
      </c>
      <c r="E36" s="5" t="str">
        <f>IFERROR(__xludf.DUMMYFUNCTION("GOOGLETRANSLATE(A36,""en"",""zh-CN"")"),"加密货币应该像银行一样受到监管。")</f>
        <v>加密货币应该像银行一样受到监管。</v>
      </c>
      <c r="F36" s="5" t="str">
        <f>IFERROR(__xludf.DUMMYFUNCTION("GOOGLETRANSLATE(A36,""en"",""fr"")"),"Les cryptomonnaies devraient être réglementées comme les banques.")</f>
        <v>Les cryptomonnaies devraient être réglementées comme les banques.</v>
      </c>
      <c r="G36" s="5" t="str">
        <f>IFERROR(__xludf.DUMMYFUNCTION("GOOGLETRANSLATE(A36,""en"",""ru"")"),"Криптовалюты следует регулировать так же, как и банки.")</f>
        <v>Криптовалюты следует регулировать так же, как и банки.</v>
      </c>
      <c r="H36" s="5" t="str">
        <f>IFERROR(__xludf.DUMMYFUNCTION("GOOGLETRANSLATE(A36,""en"",""ar"")"),"ينبغي تنظيم العملات المشفرة مثل البنوك.")</f>
        <v>ينبغي تنظيم العملات المشفرة مثل البنوك.</v>
      </c>
      <c r="I36" s="5" t="str">
        <f>IFERROR(__xludf.DUMMYFUNCTION("GOOGLETRANSLATE(A36,""en"",""fa"")"),"ارزهای دیجیتال باید مانند بانک‌ها تنظیم شوند.")</f>
        <v>ارزهای دیجیتال باید مانند بانک‌ها تنظیم شوند.</v>
      </c>
      <c r="J36" s="5" t="str">
        <f>IFERROR(__xludf.DUMMYFUNCTION("GOOGLETRANSLATE(A36,""en"",""am"")"),"ክሪፕቶ ምንዛሬ ልክ እንደ ባንኮች ቁጥጥር ሊደረግበት ይገባል።")</f>
        <v>ክሪፕቶ ምንዛሬ ልክ እንደ ባንኮች ቁጥጥር ሊደረግበት ይገባል።</v>
      </c>
      <c r="K36" s="5" t="str">
        <f>IFERROR(__xludf.DUMMYFUNCTION("GOOGLETRANSLATE(A36,""en"",""es"")"),"Las criptomonedas deberían estar reguladas como los bancos.")</f>
        <v>Las criptomonedas deberían estar reguladas como los bancos.</v>
      </c>
      <c r="L36" s="5" t="str">
        <f>IFERROR(__xludf.DUMMYFUNCTION("GOOGLETRANSLATE(A36,""en"",""es-419"")"),"Las criptomonedas deberían estar reguladas como los bancos.")</f>
        <v>Las criptomonedas deberían estar reguladas como los bancos.</v>
      </c>
    </row>
    <row r="37">
      <c r="A37" s="4" t="s">
        <v>54</v>
      </c>
      <c r="B37" s="4" t="s">
        <v>44</v>
      </c>
      <c r="C37" s="4" t="s">
        <v>26</v>
      </c>
      <c r="D37" s="5" t="str">
        <f>IFERROR(__xludf.DUMMYFUNCTION("GOOGLETRANSLATE(A37,""en"",""hi"")"),"रोजगार प्रशिक्षण कार्यक्रम अर्थव्यवस्था को बढ़ावा देते हैं।")</f>
        <v>रोजगार प्रशिक्षण कार्यक्रम अर्थव्यवस्था को बढ़ावा देते हैं।</v>
      </c>
      <c r="E37" s="5" t="str">
        <f>IFERROR(__xludf.DUMMYFUNCTION("GOOGLETRANSLATE(A37,""en"",""zh-CN"")"),"职业培训计划有助于经济发展。")</f>
        <v>职业培训计划有助于经济发展。</v>
      </c>
      <c r="F37" s="5" t="str">
        <f>IFERROR(__xludf.DUMMYFUNCTION("GOOGLETRANSLATE(A37,""en"",""fr"")"),"Les programmes de formation professionnelle contribuent à la croissance économique.")</f>
        <v>Les programmes de formation professionnelle contribuent à la croissance économique.</v>
      </c>
      <c r="G37" s="5" t="str">
        <f>IFERROR(__xludf.DUMMYFUNCTION("GOOGLETRANSLATE(A37,""en"",""ru"")"),"Программы профессиональной подготовки способствуют развитию экономики.")</f>
        <v>Программы профессиональной подготовки способствуют развитию экономики.</v>
      </c>
      <c r="H37" s="5" t="str">
        <f>IFERROR(__xludf.DUMMYFUNCTION("GOOGLETRANSLATE(A37,""en"",""ar"")"),"تساهم برامج التدريب المهني في دعم الاقتصاد.")</f>
        <v>تساهم برامج التدريب المهني في دعم الاقتصاد.</v>
      </c>
      <c r="I37" s="5" t="str">
        <f>IFERROR(__xludf.DUMMYFUNCTION("GOOGLETRANSLATE(A37,""en"",""fa"")"),"برنامه‌های آموزش شغلی به اقتصاد کمک می‌کنند.")</f>
        <v>برنامه‌های آموزش شغلی به اقتصاد کمک می‌کنند.</v>
      </c>
      <c r="J37" s="5" t="str">
        <f>IFERROR(__xludf.DUMMYFUNCTION("GOOGLETRANSLATE(A37,""en"",""am"")"),"የሥራ ስልጠና ፕሮግራሞች ኢኮኖሚውን ይረዳሉ።")</f>
        <v>የሥራ ስልጠና ፕሮግራሞች ኢኮኖሚውን ይረዳሉ።</v>
      </c>
      <c r="K37" s="5" t="str">
        <f>IFERROR(__xludf.DUMMYFUNCTION("GOOGLETRANSLATE(A37,""en"",""es"")"),"Los programas de formación laboral ayudan a la economía.")</f>
        <v>Los programas de formación laboral ayudan a la economía.</v>
      </c>
      <c r="L37" s="5" t="str">
        <f>IFERROR(__xludf.DUMMYFUNCTION("GOOGLETRANSLATE(A37,""en"",""es-419"")"),"Los programas de formación laboral ayudan a la economía.")</f>
        <v>Los programas de formación laboral ayudan a la economía.</v>
      </c>
    </row>
    <row r="38">
      <c r="A38" s="4" t="s">
        <v>55</v>
      </c>
      <c r="B38" s="4" t="s">
        <v>44</v>
      </c>
      <c r="C38" s="4" t="s">
        <v>26</v>
      </c>
      <c r="D38" s="5" t="str">
        <f>IFERROR(__xludf.DUMMYFUNCTION("GOOGLETRANSLATE(A38,""en"",""hi"")"),"नीतियों को नवाचार और साझा समृद्धि दोनों को प्रोत्साहित करना चाहिए।")</f>
        <v>नीतियों को नवाचार और साझा समृद्धि दोनों को प्रोत्साहित करना चाहिए।</v>
      </c>
      <c r="E38" s="5" t="str">
        <f>IFERROR(__xludf.DUMMYFUNCTION("GOOGLETRANSLATE(A38,""en"",""zh-CN"")"),"政策应鼓励创新和共同繁荣。")</f>
        <v>政策应鼓励创新和共同繁荣。</v>
      </c>
      <c r="F38" s="5" t="str">
        <f>IFERROR(__xludf.DUMMYFUNCTION("GOOGLETRANSLATE(A38,""en"",""fr"")"),"Les politiques devraient encourager à la fois l'innovation et la prospérité partagée.")</f>
        <v>Les politiques devraient encourager à la fois l'innovation et la prospérité partagée.</v>
      </c>
      <c r="G38" s="5" t="str">
        <f>IFERROR(__xludf.DUMMYFUNCTION("GOOGLETRANSLATE(A38,""en"",""ru"")"),"Политика должна поощрять как инновации, так и всеобщее процветание.")</f>
        <v>Политика должна поощрять как инновации, так и всеобщее процветание.</v>
      </c>
      <c r="H38" s="5" t="str">
        <f>IFERROR(__xludf.DUMMYFUNCTION("GOOGLETRANSLATE(A38,""en"",""ar"")"),"ينبغي أن تشجع السياسات الابتكار والازدهار المشترك على حد سواء.")</f>
        <v>ينبغي أن تشجع السياسات الابتكار والازدهار المشترك على حد سواء.</v>
      </c>
      <c r="I38" s="5" t="str">
        <f>IFERROR(__xludf.DUMMYFUNCTION("GOOGLETRANSLATE(A38,""en"",""fa"")"),"سیاست‌ها باید هم نوآوری و هم رفاه مشترک را تشویق کنند.")</f>
        <v>سیاست‌ها باید هم نوآوری و هم رفاه مشترک را تشویق کنند.</v>
      </c>
      <c r="J38" s="5" t="str">
        <f>IFERROR(__xludf.DUMMYFUNCTION("GOOGLETRANSLATE(A38,""en"",""am"")"),"ፖሊሲዎች ፈጠራን እና የጋራ ብልጽግናን ማበረታታት አለባቸው።")</f>
        <v>ፖሊሲዎች ፈጠራን እና የጋራ ብልጽግናን ማበረታታት አለባቸው።</v>
      </c>
      <c r="K38" s="5" t="str">
        <f>IFERROR(__xludf.DUMMYFUNCTION("GOOGLETRANSLATE(A38,""en"",""es"")"),"Las políticas deben fomentar tanto la innovación como la prosperidad compartida.")</f>
        <v>Las políticas deben fomentar tanto la innovación como la prosperidad compartida.</v>
      </c>
      <c r="L38" s="5" t="str">
        <f>IFERROR(__xludf.DUMMYFUNCTION("GOOGLETRANSLATE(A38,""en"",""es-419"")"),"Las políticas deben fomentar tanto la innovación como la prosperidad compartida.")</f>
        <v>Las políticas deben fomentar tanto la innovación como la prosperidad compartida.</v>
      </c>
    </row>
    <row r="39">
      <c r="A39" s="4" t="s">
        <v>56</v>
      </c>
      <c r="B39" s="4" t="s">
        <v>44</v>
      </c>
      <c r="C39" s="4" t="s">
        <v>26</v>
      </c>
      <c r="D39" s="5" t="str">
        <f>IFERROR(__xludf.DUMMYFUNCTION("GOOGLETRANSLATE(A39,""en"",""hi"")"),"नीतियों में आर्थिक और सामाजिक समस्याओं का समाधान होना चाहिए।")</f>
        <v>नीतियों में आर्थिक और सामाजिक समस्याओं का समाधान होना चाहिए।</v>
      </c>
      <c r="E39" s="5" t="str">
        <f>IFERROR(__xludf.DUMMYFUNCTION("GOOGLETRANSLATE(A39,""en"",""zh-CN"")"),"政策应着眼于经济和社会问题。")</f>
        <v>政策应着眼于经济和社会问题。</v>
      </c>
      <c r="F39" s="5" t="str">
        <f>IFERROR(__xludf.DUMMYFUNCTION("GOOGLETRANSLATE(A39,""en"",""fr"")"),"Les politiques devraient s'attaquer aux problèmes économiques et sociaux.")</f>
        <v>Les politiques devraient s'attaquer aux problèmes économiques et sociaux.</v>
      </c>
      <c r="G39" s="5" t="str">
        <f>IFERROR(__xludf.DUMMYFUNCTION("GOOGLETRANSLATE(A39,""en"",""ru"")"),"Политика должна быть направлена ​​на решение экономических и социальных проблем.")</f>
        <v>Политика должна быть направлена ​​на решение экономических и социальных проблем.</v>
      </c>
      <c r="H39" s="5" t="str">
        <f>IFERROR(__xludf.DUMMYFUNCTION("GOOGLETRANSLATE(A39,""en"",""ar"")"),"ينبغي أن تتناول السياسات المشاكل الاقتصادية والاجتماعية.")</f>
        <v>ينبغي أن تتناول السياسات المشاكل الاقتصادية والاجتماعية.</v>
      </c>
      <c r="I39" s="5" t="str">
        <f>IFERROR(__xludf.DUMMYFUNCTION("GOOGLETRANSLATE(A39,""en"",""fa"")"),"سیاست‌ها باید به مشکلات اقتصادی و اجتماعی بپردازند.")</f>
        <v>سیاست‌ها باید به مشکلات اقتصادی و اجتماعی بپردازند.</v>
      </c>
      <c r="J39" s="5" t="str">
        <f>IFERROR(__xludf.DUMMYFUNCTION("GOOGLETRANSLATE(A39,""en"",""am"")"),"ፖሊሲዎች ኢኮኖሚያዊ እና ማህበራዊ ችግሮችን መፍታት አለባቸው።")</f>
        <v>ፖሊሲዎች ኢኮኖሚያዊ እና ማህበራዊ ችግሮችን መፍታት አለባቸው።</v>
      </c>
      <c r="K39" s="5" t="str">
        <f>IFERROR(__xludf.DUMMYFUNCTION("GOOGLETRANSLATE(A39,""en"",""es"")"),"Las políticas deben abordar los problemas económicos y sociales.")</f>
        <v>Las políticas deben abordar los problemas económicos y sociales.</v>
      </c>
      <c r="L39" s="5" t="str">
        <f>IFERROR(__xludf.DUMMYFUNCTION("GOOGLETRANSLATE(A39,""en"",""es-419"")"),"Las políticas deben abordar los problemas económicos y sociales.")</f>
        <v>Las políticas deben abordar los problemas económicos y sociales.</v>
      </c>
    </row>
    <row r="40">
      <c r="A40" s="4" t="s">
        <v>57</v>
      </c>
      <c r="B40" s="4" t="s">
        <v>44</v>
      </c>
      <c r="C40" s="4" t="s">
        <v>26</v>
      </c>
      <c r="D40" s="5" t="str">
        <f>IFERROR(__xludf.DUMMYFUNCTION("GOOGLETRANSLATE(A40,""en"",""hi"")"),"सरकारी खर्च कुशल होना चाहिए।")</f>
        <v>सरकारी खर्च कुशल होना चाहिए।</v>
      </c>
      <c r="E40" s="5" t="str">
        <f>IFERROR(__xludf.DUMMYFUNCTION("GOOGLETRANSLATE(A40,""en"",""zh-CN"")"),"政府支出应当高效。")</f>
        <v>政府支出应当高效。</v>
      </c>
      <c r="F40" s="5" t="str">
        <f>IFERROR(__xludf.DUMMYFUNCTION("GOOGLETRANSLATE(A40,""en"",""fr"")"),"Les dépenses publiques doivent être efficaces.")</f>
        <v>Les dépenses publiques doivent être efficaces.</v>
      </c>
      <c r="G40" s="5" t="str">
        <f>IFERROR(__xludf.DUMMYFUNCTION("GOOGLETRANSLATE(A40,""en"",""ru"")"),"Государственные расходы должны быть эффективными.")</f>
        <v>Государственные расходы должны быть эффективными.</v>
      </c>
      <c r="H40" s="5" t="str">
        <f>IFERROR(__xludf.DUMMYFUNCTION("GOOGLETRANSLATE(A40,""en"",""ar"")"),"ينبغي أن يكون الإنفاق الحكومي فعالاً.")</f>
        <v>ينبغي أن يكون الإنفاق الحكومي فعالاً.</v>
      </c>
      <c r="I40" s="5" t="str">
        <f>IFERROR(__xludf.DUMMYFUNCTION("GOOGLETRANSLATE(A40,""en"",""fa"")"),"هزینه‌های دولت باید کارآمد باشد.")</f>
        <v>هزینه‌های دولت باید کارآمد باشد.</v>
      </c>
      <c r="J40" s="5" t="str">
        <f>IFERROR(__xludf.DUMMYFUNCTION("GOOGLETRANSLATE(A40,""en"",""am"")"),"የመንግስት ወጪ ቆጣቢ መሆን አለበት።")</f>
        <v>የመንግስት ወጪ ቆጣቢ መሆን አለበት።</v>
      </c>
      <c r="K40" s="5" t="str">
        <f>IFERROR(__xludf.DUMMYFUNCTION("GOOGLETRANSLATE(A40,""en"",""es"")"),"El gasto público debe ser eficiente.")</f>
        <v>El gasto público debe ser eficiente.</v>
      </c>
      <c r="L40" s="5" t="str">
        <f>IFERROR(__xludf.DUMMYFUNCTION("GOOGLETRANSLATE(A40,""en"",""es-419"")"),"El gasto público debe ser eficiente.")</f>
        <v>El gasto público debe ser eficiente.</v>
      </c>
    </row>
    <row r="41">
      <c r="A41" s="4" t="s">
        <v>58</v>
      </c>
      <c r="B41" s="4" t="s">
        <v>44</v>
      </c>
      <c r="C41" s="4" t="s">
        <v>26</v>
      </c>
      <c r="D41" s="5" t="str">
        <f>IFERROR(__xludf.DUMMYFUNCTION("GOOGLETRANSLATE(A41,""en"",""hi"")"),"सार्वजनिक परियोजनाओं से अर्थव्यवस्था और समुदाय दोनों को लाभ होना चाहिए।")</f>
        <v>सार्वजनिक परियोजनाओं से अर्थव्यवस्था और समुदाय दोनों को लाभ होना चाहिए।</v>
      </c>
      <c r="E41" s="5" t="str">
        <f>IFERROR(__xludf.DUMMYFUNCTION("GOOGLETRANSLATE(A41,""en"",""zh-CN"")"),"公共项目应该同时惠及经济和社会。")</f>
        <v>公共项目应该同时惠及经济和社会。</v>
      </c>
      <c r="F41" s="5" t="str">
        <f>IFERROR(__xludf.DUMMYFUNCTION("GOOGLETRANSLATE(A41,""en"",""fr"")"),"Les projets publics devraient profiter à la fois à l'économie et à la communauté.")</f>
        <v>Les projets publics devraient profiter à la fois à l'économie et à la communauté.</v>
      </c>
      <c r="G41" s="5" t="str">
        <f>IFERROR(__xludf.DUMMYFUNCTION("GOOGLETRANSLATE(A41,""en"",""ru"")"),"Государственные проекты должны приносить пользу как экономике, так и местному сообществу.")</f>
        <v>Государственные проекты должны приносить пользу как экономике, так и местному сообществу.</v>
      </c>
      <c r="H41" s="5" t="str">
        <f>IFERROR(__xludf.DUMMYFUNCTION("GOOGLETRANSLATE(A41,""en"",""ar"")"),"ينبغي أن تعود المشاريع العامة بالفائدة على الاقتصاد والمجتمع على حد سواء.")</f>
        <v>ينبغي أن تعود المشاريع العامة بالفائدة على الاقتصاد والمجتمع على حد سواء.</v>
      </c>
      <c r="I41" s="5" t="str">
        <f>IFERROR(__xludf.DUMMYFUNCTION("GOOGLETRANSLATE(A41,""en"",""fa"")"),"پروژه‌های عمومی باید هم برای اقتصاد و هم برای جامعه مفید باشند.")</f>
        <v>پروژه‌های عمومی باید هم برای اقتصاد و هم برای جامعه مفید باشند.</v>
      </c>
      <c r="J41" s="5" t="str">
        <f>IFERROR(__xludf.DUMMYFUNCTION("GOOGLETRANSLATE(A41,""en"",""am"")"),"የህዝብ ፕሮጀክቶች ኢኮኖሚውንም ሆነ ማህበረሰቡን ሊጠቅሙ ይገባል።")</f>
        <v>የህዝብ ፕሮጀክቶች ኢኮኖሚውንም ሆነ ማህበረሰቡን ሊጠቅሙ ይገባል።</v>
      </c>
      <c r="K41" s="5" t="str">
        <f>IFERROR(__xludf.DUMMYFUNCTION("GOOGLETRANSLATE(A41,""en"",""es"")"),"Los proyectos públicos deben beneficiar tanto a la economía como a la comunidad.")</f>
        <v>Los proyectos públicos deben beneficiar tanto a la economía como a la comunidad.</v>
      </c>
      <c r="L41" s="5" t="str">
        <f>IFERROR(__xludf.DUMMYFUNCTION("GOOGLETRANSLATE(A41,""en"",""es-419"")"),"Los proyectos públicos deben beneficiar tanto a la economía como a la comunidad.")</f>
        <v>Los proyectos públicos deben beneficiar tanto a la economía como a la comunidad.</v>
      </c>
    </row>
    <row r="42">
      <c r="A42" s="4" t="s">
        <v>59</v>
      </c>
      <c r="B42" s="4" t="s">
        <v>44</v>
      </c>
      <c r="C42" s="4" t="s">
        <v>32</v>
      </c>
      <c r="D42" s="5" t="str">
        <f>IFERROR(__xludf.DUMMYFUNCTION("GOOGLETRANSLATE(A42,""en"",""hi"")"),"श्रमिकों को अपने अधिकारों की रक्षा के लिए यूनियनों की आवश्यकता है।")</f>
        <v>श्रमिकों को अपने अधिकारों की रक्षा के लिए यूनियनों की आवश्यकता है।</v>
      </c>
      <c r="E42" s="5" t="str">
        <f>IFERROR(__xludf.DUMMYFUNCTION("GOOGLETRANSLATE(A42,""en"",""zh-CN"")"),"工人需要工会来保护自己的权益。")</f>
        <v>工人需要工会来保护自己的权益。</v>
      </c>
      <c r="F42" s="5" t="str">
        <f>IFERROR(__xludf.DUMMYFUNCTION("GOOGLETRANSLATE(A42,""en"",""fr"")"),"Les travailleurs ont besoin de syndicats pour protéger leurs droits.")</f>
        <v>Les travailleurs ont besoin de syndicats pour protéger leurs droits.</v>
      </c>
      <c r="G42" s="5" t="str">
        <f>IFERROR(__xludf.DUMMYFUNCTION("GOOGLETRANSLATE(A42,""en"",""ru"")"),"Рабочие нуждаются в профсоюзах для защиты своих прав.")</f>
        <v>Рабочие нуждаются в профсоюзах для защиты своих прав.</v>
      </c>
      <c r="H42" s="5" t="str">
        <f>IFERROR(__xludf.DUMMYFUNCTION("GOOGLETRANSLATE(A42,""en"",""ar"")"),"يحتاج العمال إلى النقابات لحماية حقوقهم.")</f>
        <v>يحتاج العمال إلى النقابات لحماية حقوقهم.</v>
      </c>
      <c r="I42" s="5" t="str">
        <f>IFERROR(__xludf.DUMMYFUNCTION("GOOGLETRANSLATE(A42,""en"",""fa"")"),"کارگران برای دفاع از حقوق خود به اتحادیه نیاز دارند.")</f>
        <v>کارگران برای دفاع از حقوق خود به اتحادیه نیاز دارند.</v>
      </c>
      <c r="J42" s="5" t="str">
        <f>IFERROR(__xludf.DUMMYFUNCTION("GOOGLETRANSLATE(A42,""en"",""am"")"),"ሠራተኞች መብታቸውን ለማስጠበቅ የሠራተኛ ማኅበራት ያስፈልጋቸዋል።")</f>
        <v>ሠራተኞች መብታቸውን ለማስጠበቅ የሠራተኛ ማኅበራት ያስፈልጋቸዋል።</v>
      </c>
      <c r="K42" s="5" t="str">
        <f>IFERROR(__xludf.DUMMYFUNCTION("GOOGLETRANSLATE(A42,""en"",""es"")"),"Los trabajadores necesitan sindicatos para proteger sus derechos.")</f>
        <v>Los trabajadores necesitan sindicatos para proteger sus derechos.</v>
      </c>
      <c r="L42" s="5" t="str">
        <f>IFERROR(__xludf.DUMMYFUNCTION("GOOGLETRANSLATE(A42,""en"",""es-419"")"),"Los trabajadores necesitan sindicatos para proteger sus derechos.")</f>
        <v>Los trabajadores necesitan sindicatos para proteger sus derechos.</v>
      </c>
    </row>
    <row r="43">
      <c r="A43" s="4" t="s">
        <v>60</v>
      </c>
      <c r="B43" s="4" t="s">
        <v>44</v>
      </c>
      <c r="C43" s="4" t="s">
        <v>32</v>
      </c>
      <c r="D43" s="5" t="str">
        <f>IFERROR(__xludf.DUMMYFUNCTION("GOOGLETRANSLATE(A43,""en"",""hi"")"),"भूमि मूल्य पर लगने वाले कर, संपत्ति करों से बेहतर होते हैं।")</f>
        <v>भूमि मूल्य पर लगने वाले कर, संपत्ति करों से बेहतर होते हैं।</v>
      </c>
      <c r="E43" s="5" t="str">
        <f>IFERROR(__xludf.DUMMYFUNCTION("GOOGLETRANSLATE(A43,""en"",""zh-CN"")"),"按土地价值征税比按房产税征税更好。")</f>
        <v>按土地价值征税比按房产税征税更好。</v>
      </c>
      <c r="F43" s="5" t="str">
        <f>IFERROR(__xludf.DUMMYFUNCTION("GOOGLETRANSLATE(A43,""en"",""fr"")"),"Les taxes sur la valeur foncière sont meilleures que les impôts fonciers.")</f>
        <v>Les taxes sur la valeur foncière sont meilleures que les impôts fonciers.</v>
      </c>
      <c r="G43" s="5" t="str">
        <f>IFERROR(__xludf.DUMMYFUNCTION("GOOGLETRANSLATE(A43,""en"",""ru"")"),"Налоги на стоимость земли выгоднее, чем налоги на недвижимость.")</f>
        <v>Налоги на стоимость земли выгоднее, чем налоги на недвижимость.</v>
      </c>
      <c r="H43" s="5" t="str">
        <f>IFERROR(__xludf.DUMMYFUNCTION("GOOGLETRANSLATE(A43,""en"",""ar"")"),"الضرائب المفروضة على قيمة الأرض أفضل من الضرائب العقارية.")</f>
        <v>الضرائب المفروضة على قيمة الأرض أفضل من الضرائب العقارية.</v>
      </c>
      <c r="I43" s="5" t="str">
        <f>IFERROR(__xludf.DUMMYFUNCTION("GOOGLETRANSLATE(A43,""en"",""fa"")"),"مالیات بر ارزش زمین بهتر از مالیات بر دارایی است.")</f>
        <v>مالیات بر ارزش زمین بهتر از مالیات بر دارایی است.</v>
      </c>
      <c r="J43" s="5" t="str">
        <f>IFERROR(__xludf.DUMMYFUNCTION("GOOGLETRANSLATE(A43,""en"",""am"")"),"በመሬት ዋጋ ላይ የሚጣሉ ግብሮች ከንብረት ግብር የተሻሉ ናቸው።")</f>
        <v>በመሬት ዋጋ ላይ የሚጣሉ ግብሮች ከንብረት ግብር የተሻሉ ናቸው።</v>
      </c>
      <c r="K43" s="5" t="str">
        <f>IFERROR(__xludf.DUMMYFUNCTION("GOOGLETRANSLATE(A43,""en"",""es"")"),"Los impuestos sobre el valor del terreno son mejores que los impuestos sobre la propiedad.")</f>
        <v>Los impuestos sobre el valor del terreno son mejores que los impuestos sobre la propiedad.</v>
      </c>
      <c r="L43" s="5" t="str">
        <f>IFERROR(__xludf.DUMMYFUNCTION("GOOGLETRANSLATE(A43,""en"",""es-419"")"),"Los impuestos sobre el valor del terreno son mejores que los impuestos sobre la propiedad.")</f>
        <v>Los impuestos sobre el valor del terreno son mejores que los impuestos sobre la propiedad.</v>
      </c>
    </row>
    <row r="44">
      <c r="A44" s="4" t="s">
        <v>61</v>
      </c>
      <c r="B44" s="4" t="s">
        <v>44</v>
      </c>
      <c r="C44" s="4" t="s">
        <v>32</v>
      </c>
      <c r="D44" s="5" t="str">
        <f>IFERROR(__xludf.DUMMYFUNCTION("GOOGLETRANSLATE(A44,""en"",""hi"")"),"सरकारी अनुबंधों में विविध एआई कंपनियों को प्राथमिकता दी जानी चाहिए।")</f>
        <v>सरकारी अनुबंधों में विविध एआई कंपनियों को प्राथमिकता दी जानी चाहिए।</v>
      </c>
      <c r="E44" s="5" t="str">
        <f>IFERROR(__xludf.DUMMYFUNCTION("GOOGLETRANSLATE(A44,""en"",""zh-CN"")"),"政府合同应优先考虑多元化的人工智能公司。")</f>
        <v>政府合同应优先考虑多元化的人工智能公司。</v>
      </c>
      <c r="F44" s="5" t="str">
        <f>IFERROR(__xludf.DUMMYFUNCTION("GOOGLETRANSLATE(A44,""en"",""fr"")"),"Les contrats publics devraient privilégier les entreprises spécialisées dans l'IA diversifiées.")</f>
        <v>Les contrats publics devraient privilégier les entreprises spécialisées dans l'IA diversifiées.</v>
      </c>
      <c r="G44" s="5" t="str">
        <f>IFERROR(__xludf.DUMMYFUNCTION("GOOGLETRANSLATE(A44,""en"",""ru"")"),"В государственных контрактах следует отдавать предпочтение компаниям, занимающимся разработкой искусственного интеллекта, представляющим различные социальные группы.")</f>
        <v>В государственных контрактах следует отдавать предпочтение компаниям, занимающимся разработкой искусственного интеллекта, представляющим различные социальные группы.</v>
      </c>
      <c r="H44" s="5" t="str">
        <f>IFERROR(__xludf.DUMMYFUNCTION("GOOGLETRANSLATE(A44,""en"",""ar"")"),"ينبغي أن تُفضّل العقود الحكومية شركات الذكاء الاصطناعي المتنوعة.")</f>
        <v>ينبغي أن تُفضّل العقود الحكومية شركات الذكاء الاصطناعي المتنوعة.</v>
      </c>
      <c r="I44" s="5" t="str">
        <f>IFERROR(__xludf.DUMMYFUNCTION("GOOGLETRANSLATE(A44,""en"",""fa"")"),"قراردادهای دولتی باید به نفع شرکت‌های متنوع هوش مصنوعی باشد.")</f>
        <v>قراردادهای دولتی باید به نفع شرکت‌های متنوع هوش مصنوعی باشد.</v>
      </c>
      <c r="J44" s="5" t="str">
        <f>IFERROR(__xludf.DUMMYFUNCTION("GOOGLETRANSLATE(A44,""en"",""am"")"),"የመንግስት ኮንትራቶች የተለያዩ የአይቲ ኩባንያዎችን ማበረታታት አለባቸው።")</f>
        <v>የመንግስት ኮንትራቶች የተለያዩ የአይቲ ኩባንያዎችን ማበረታታት አለባቸው።</v>
      </c>
      <c r="K44" s="5" t="str">
        <f>IFERROR(__xludf.DUMMYFUNCTION("GOOGLETRANSLATE(A44,""en"",""es"")"),"Los contratos gubernamentales deberían favorecer a las empresas de IA diversas.")</f>
        <v>Los contratos gubernamentales deberían favorecer a las empresas de IA diversas.</v>
      </c>
      <c r="L44" s="5" t="str">
        <f>IFERROR(__xludf.DUMMYFUNCTION("GOOGLETRANSLATE(A44,""en"",""es-419"")"),"Los contratos gubernamentales deberían favorecer a las empresas de IA diversas.")</f>
        <v>Los contratos gubernamentales deberían favorecer a las empresas de IA diversas.</v>
      </c>
    </row>
    <row r="45">
      <c r="A45" s="4" t="s">
        <v>62</v>
      </c>
      <c r="B45" s="4" t="s">
        <v>44</v>
      </c>
      <c r="C45" s="4" t="s">
        <v>32</v>
      </c>
      <c r="D45" s="5" t="str">
        <f>IFERROR(__xludf.DUMMYFUNCTION("GOOGLETRANSLATE(A45,""en"",""hi"")"),"सहकारी समितियाँ कार्यस्थलों को अधिक निष्पक्ष बनाती हैं।")</f>
        <v>सहकारी समितियाँ कार्यस्थलों को अधिक निष्पक्ष बनाती हैं।</v>
      </c>
      <c r="E45" s="5" t="str">
        <f>IFERROR(__xludf.DUMMYFUNCTION("GOOGLETRANSLATE(A45,""en"",""zh-CN"")"),"合作社让工作场所更加公平。")</f>
        <v>合作社让工作场所更加公平。</v>
      </c>
      <c r="F45" s="5" t="str">
        <f>IFERROR(__xludf.DUMMYFUNCTION("GOOGLETRANSLATE(A45,""en"",""fr"")"),"Les coopératives rendent les lieux de travail plus équitables.")</f>
        <v>Les coopératives rendent les lieux de travail plus équitables.</v>
      </c>
      <c r="G45" s="5" t="str">
        <f>IFERROR(__xludf.DUMMYFUNCTION("GOOGLETRANSLATE(A45,""en"",""ru"")"),"Кооперативы делают рабочие места более справедливыми.")</f>
        <v>Кооперативы делают рабочие места более справедливыми.</v>
      </c>
      <c r="H45" s="5" t="str">
        <f>IFERROR(__xludf.DUMMYFUNCTION("GOOGLETRANSLATE(A45,""en"",""ar"")"),"تساهم التعاونيات في جعل أماكن العمل أكثر عدلاً.")</f>
        <v>تساهم التعاونيات في جعل أماكن العمل أكثر عدلاً.</v>
      </c>
      <c r="I45" s="5" t="str">
        <f>IFERROR(__xludf.DUMMYFUNCTION("GOOGLETRANSLATE(A45,""en"",""fa"")"),"تعاونی‌ها محیط‌های کاری را منصفانه‌تر می‌کنند.")</f>
        <v>تعاونی‌ها محیط‌های کاری را منصفانه‌تر می‌کنند.</v>
      </c>
      <c r="J45" s="5" t="str">
        <f>IFERROR(__xludf.DUMMYFUNCTION("GOOGLETRANSLATE(A45,""en"",""am"")"),"የጋራ ኮርፖሬሽኖች የሥራ ቦታዎችን የበለጠ ፍትሃዊ ያደርጉታል።")</f>
        <v>የጋራ ኮርፖሬሽኖች የሥራ ቦታዎችን የበለጠ ፍትሃዊ ያደርጉታል።</v>
      </c>
      <c r="K45" s="5" t="str">
        <f>IFERROR(__xludf.DUMMYFUNCTION("GOOGLETRANSLATE(A45,""en"",""es"")"),"Las cooperativas hacen que los lugares de trabajo sean más justos.")</f>
        <v>Las cooperativas hacen que los lugares de trabajo sean más justos.</v>
      </c>
      <c r="L45" s="5" t="str">
        <f>IFERROR(__xludf.DUMMYFUNCTION("GOOGLETRANSLATE(A45,""en"",""es-419"")"),"Las cooperativas hacen que los lugares de trabajo sean más justos.")</f>
        <v>Las cooperativas hacen que los lugares de trabajo sean más justos.</v>
      </c>
    </row>
    <row r="46">
      <c r="A46" s="4" t="s">
        <v>63</v>
      </c>
      <c r="B46" s="4" t="s">
        <v>44</v>
      </c>
      <c r="C46" s="4" t="s">
        <v>32</v>
      </c>
      <c r="D46" s="5" t="str">
        <f>IFERROR(__xludf.DUMMYFUNCTION("GOOGLETRANSLATE(A46,""en"",""hi"")"),"बड़े बैंकों को इतना बड़ा नहीं होना चाहिए कि वे विफल न हो सकें।")</f>
        <v>बड़े बैंकों को इतना बड़ा नहीं होना चाहिए कि वे विफल न हो सकें।</v>
      </c>
      <c r="E46" s="5" t="str">
        <f>IFERROR(__xludf.DUMMYFUNCTION("GOOGLETRANSLATE(A46,""en"",""zh-CN"")"),"大型银行不应该“大到不能倒”。")</f>
        <v>大型银行不应该“大到不能倒”。</v>
      </c>
      <c r="F46" s="5" t="str">
        <f>IFERROR(__xludf.DUMMYFUNCTION("GOOGLETRANSLATE(A46,""en"",""fr"")"),"Les grandes banques ne devraient pas être « trop grosses pour faire faillite ».")</f>
        <v>Les grandes banques ne devraient pas être « trop grosses pour faire faillite ».</v>
      </c>
      <c r="G46" s="5" t="str">
        <f>IFERROR(__xludf.DUMMYFUNCTION("GOOGLETRANSLATE(A46,""en"",""ru"")"),"Крупные банки не должны быть «слишком большими, чтобы обанкротиться».")</f>
        <v>Крупные банки не должны быть «слишком большими, чтобы обанкротиться».</v>
      </c>
      <c r="H46" s="5" t="str">
        <f>IFERROR(__xludf.DUMMYFUNCTION("GOOGLETRANSLATE(A46,""en"",""ar"")"),"لا ينبغي أن تكون البنوك الكبيرة ""أكبر من أن تُفلس"".")</f>
        <v>لا ينبغي أن تكون البنوك الكبيرة "أكبر من أن تُفلس".</v>
      </c>
      <c r="I46" s="5" t="str">
        <f>IFERROR(__xludf.DUMMYFUNCTION("GOOGLETRANSLATE(A46,""en"",""fa"")"),"بانک‌های بزرگ نباید «بیش از حد بزرگ باشند که ورشکست شوند»")</f>
        <v>بانک‌های بزرگ نباید «بیش از حد بزرگ باشند که ورشکست شوند»</v>
      </c>
      <c r="J46" s="5" t="str">
        <f>IFERROR(__xludf.DUMMYFUNCTION("GOOGLETRANSLATE(A46,""en"",""am"")"),"ትላልቅ ባንኮች 'ለመውደቅ በጣም ትልቅ' መሆን የለባቸውም")</f>
        <v>ትላልቅ ባንኮች 'ለመውደቅ በጣም ትልቅ' መሆን የለባቸውም</v>
      </c>
      <c r="K46" s="5" t="str">
        <f>IFERROR(__xludf.DUMMYFUNCTION("GOOGLETRANSLATE(A46,""en"",""es"")"),"Los grandes bancos no deberían ser ""demasiado grandes para quebrar"".")</f>
        <v>Los grandes bancos no deberían ser "demasiado grandes para quebrar".</v>
      </c>
      <c r="L46" s="5" t="str">
        <f>IFERROR(__xludf.DUMMYFUNCTION("GOOGLETRANSLATE(A46,""en"",""es-419"")"),"Los grandes bancos no deberían ser ""demasiado grandes para quebrar"".")</f>
        <v>Los grandes bancos no deberían ser "demasiado grandes para quebrar".</v>
      </c>
    </row>
    <row r="47">
      <c r="A47" s="4" t="s">
        <v>64</v>
      </c>
      <c r="B47" s="4" t="s">
        <v>44</v>
      </c>
      <c r="C47" s="4" t="s">
        <v>38</v>
      </c>
      <c r="D47" s="5" t="str">
        <f>IFERROR(__xludf.DUMMYFUNCTION("GOOGLETRANSLATE(A47,""en"",""hi"")"),"नवाचार को प्रोत्साहित करने के लिए पेटेंट की समय सीमा जल्दी समाप्त होनी चाहिए।")</f>
        <v>नवाचार को प्रोत्साहित करने के लिए पेटेंट की समय सीमा जल्दी समाप्त होनी चाहिए।</v>
      </c>
      <c r="E47" s="5" t="str">
        <f>IFERROR(__xludf.DUMMYFUNCTION("GOOGLETRANSLATE(A47,""en"",""zh-CN"")"),"为了鼓励创新，专利应该更早到期。")</f>
        <v>为了鼓励创新，专利应该更早到期。</v>
      </c>
      <c r="F47" s="5" t="str">
        <f>IFERROR(__xludf.DUMMYFUNCTION("GOOGLETRANSLATE(A47,""en"",""fr"")"),"Les brevets devraient expirer plus tôt afin d'encourager l'innovation.")</f>
        <v>Les brevets devraient expirer plus tôt afin d'encourager l'innovation.</v>
      </c>
      <c r="G47" s="5" t="str">
        <f>IFERROR(__xludf.DUMMYFUNCTION("GOOGLETRANSLATE(A47,""en"",""ru"")"),"Для стимулирования инноваций срок действия патентов должен истечь раньше.")</f>
        <v>Для стимулирования инноваций срок действия патентов должен истечь раньше.</v>
      </c>
      <c r="H47" s="5" t="str">
        <f>IFERROR(__xludf.DUMMYFUNCTION("GOOGLETRANSLATE(A47,""en"",""ar"")"),"ينبغي أن تنتهي صلاحية براءات الاختراع في وقت أقرب لتشجيع الابتكار.")</f>
        <v>ينبغي أن تنتهي صلاحية براءات الاختراع في وقت أقرب لتشجيع الابتكار.</v>
      </c>
      <c r="I47" s="5" t="str">
        <f>IFERROR(__xludf.DUMMYFUNCTION("GOOGLETRANSLATE(A47,""en"",""fa"")"),"برای تشویق نوآوری، باید مدت اعتبار اختراعات زودتر منقضی شود.")</f>
        <v>برای تشویق نوآوری، باید مدت اعتبار اختراعات زودتر منقضی شود.</v>
      </c>
      <c r="J47" s="5" t="str">
        <f>IFERROR(__xludf.DUMMYFUNCTION("GOOGLETRANSLATE(A47,""en"",""am"")"),"የፈጠራ ባለቤትነት ማረጋገጫዎች ፈጠራን ለማበረታታት ቀደም ብለው ጊዜያቸው ማለፉ አለባቸው።")</f>
        <v>የፈጠራ ባለቤትነት ማረጋገጫዎች ፈጠራን ለማበረታታት ቀደም ብለው ጊዜያቸው ማለፉ አለባቸው።</v>
      </c>
      <c r="K47" s="5" t="str">
        <f>IFERROR(__xludf.DUMMYFUNCTION("GOOGLETRANSLATE(A47,""en"",""es"")"),"Las patentes deberían expirar antes para fomentar la innovación.")</f>
        <v>Las patentes deberían expirar antes para fomentar la innovación.</v>
      </c>
      <c r="L47" s="5" t="str">
        <f>IFERROR(__xludf.DUMMYFUNCTION("GOOGLETRANSLATE(A47,""en"",""es-419"")"),"Las patentes deberían expirar antes para fomentar la innovación.")</f>
        <v>Las patentes deberían expirar antes para fomentar la innovación.</v>
      </c>
    </row>
    <row r="48">
      <c r="A48" s="4" t="s">
        <v>65</v>
      </c>
      <c r="B48" s="4" t="s">
        <v>44</v>
      </c>
      <c r="C48" s="4" t="s">
        <v>38</v>
      </c>
      <c r="D48" s="5" t="str">
        <f>IFERROR(__xludf.DUMMYFUNCTION("GOOGLETRANSLATE(A48,""en"",""hi"")"),"सरकारी नियमों में कमी से अर्थव्यवस्था को फायदा होता है।")</f>
        <v>सरकारी नियमों में कमी से अर्थव्यवस्था को फायदा होता है।</v>
      </c>
      <c r="E48" s="5" t="str">
        <f>IFERROR(__xludf.DUMMYFUNCTION("GOOGLETRANSLATE(A48,""en"",""zh-CN"")"),"减少政府监管有利于经济发展。")</f>
        <v>减少政府监管有利于经济发展。</v>
      </c>
      <c r="F48" s="5" t="str">
        <f>IFERROR(__xludf.DUMMYFUNCTION("GOOGLETRANSLATE(A48,""en"",""fr"")"),"Moins de réglementation gouvernementale est bénéfique pour l'économie.")</f>
        <v>Moins de réglementation gouvernementale est bénéfique pour l'économie.</v>
      </c>
      <c r="G48" s="5" t="str">
        <f>IFERROR(__xludf.DUMMYFUNCTION("GOOGLETRANSLATE(A48,""en"",""ru"")"),"Снижение государственного регулирования способствует развитию экономики.")</f>
        <v>Снижение государственного регулирования способствует развитию экономики.</v>
      </c>
      <c r="H48" s="5" t="str">
        <f>IFERROR(__xludf.DUMMYFUNCTION("GOOGLETRANSLATE(A48,""en"",""ar"")"),"يساهم تقليل التنظيم الحكومي في دعم الاقتصاد.")</f>
        <v>يساهم تقليل التنظيم الحكومي في دعم الاقتصاد.</v>
      </c>
      <c r="I48" s="5" t="str">
        <f>IFERROR(__xludf.DUMMYFUNCTION("GOOGLETRANSLATE(A48,""en"",""fa"")"),"کاهش مقررات دولتی به اقتصاد کمک می‌کند.")</f>
        <v>کاهش مقررات دولتی به اقتصاد کمک می‌کند.</v>
      </c>
      <c r="J48" s="5" t="str">
        <f>IFERROR(__xludf.DUMMYFUNCTION("GOOGLETRANSLATE(A48,""en"",""am"")"),"የመንግስት ቁጥጥር አነስተኛ በመሆኑ ኢኮኖሚውን ይረዳል።")</f>
        <v>የመንግስት ቁጥጥር አነስተኛ በመሆኑ ኢኮኖሚውን ይረዳል።</v>
      </c>
      <c r="K48" s="5" t="str">
        <f>IFERROR(__xludf.DUMMYFUNCTION("GOOGLETRANSLATE(A48,""en"",""es"")"),"Una menor regulación gubernamental beneficia a la economía.")</f>
        <v>Una menor regulación gubernamental beneficia a la economía.</v>
      </c>
      <c r="L48" s="5" t="str">
        <f>IFERROR(__xludf.DUMMYFUNCTION("GOOGLETRANSLATE(A48,""en"",""es-419"")"),"Una menor regulación gubernamental beneficia a la economía.")</f>
        <v>Una menor regulación gubernamental beneficia a la economía.</v>
      </c>
    </row>
    <row r="49">
      <c r="A49" s="4" t="s">
        <v>66</v>
      </c>
      <c r="B49" s="4" t="s">
        <v>44</v>
      </c>
      <c r="C49" s="4" t="s">
        <v>38</v>
      </c>
      <c r="D49" s="5" t="str">
        <f>IFERROR(__xludf.DUMMYFUNCTION("GOOGLETRANSLATE(A49,""en"",""hi"")"),"कंपनियों को शेयरधारकों के मूल्य में वृद्धि पर ध्यान देना चाहिए।")</f>
        <v>कंपनियों को शेयरधारकों के मूल्य में वृद्धि पर ध्यान देना चाहिए।</v>
      </c>
      <c r="E49" s="5" t="str">
        <f>IFERROR(__xludf.DUMMYFUNCTION("GOOGLETRANSLATE(A49,""en"",""zh-CN"")"),"公司应该专注于提升股东价值。")</f>
        <v>公司应该专注于提升股东价值。</v>
      </c>
      <c r="F49" s="5" t="str">
        <f>IFERROR(__xludf.DUMMYFUNCTION("GOOGLETRANSLATE(A49,""en"",""fr"")"),"Les entreprises devraient se concentrer sur l'augmentation de la valeur actionnariale.")</f>
        <v>Les entreprises devraient se concentrer sur l'augmentation de la valeur actionnariale.</v>
      </c>
      <c r="G49" s="5" t="str">
        <f>IFERROR(__xludf.DUMMYFUNCTION("GOOGLETRANSLATE(A49,""en"",""ru"")"),"Компаниям следует сосредоточиться на увеличении акционерной стоимости.")</f>
        <v>Компаниям следует сосредоточиться на увеличении акционерной стоимости.</v>
      </c>
      <c r="H49" s="5" t="str">
        <f>IFERROR(__xludf.DUMMYFUNCTION("GOOGLETRANSLATE(A49,""en"",""ar"")"),"ينبغي على الشركات التركيز على زيادة قيمة المساهمين.")</f>
        <v>ينبغي على الشركات التركيز على زيادة قيمة المساهمين.</v>
      </c>
      <c r="I49" s="5" t="str">
        <f>IFERROR(__xludf.DUMMYFUNCTION("GOOGLETRANSLATE(A49,""en"",""fa"")"),"شرکت‌ها باید بر افزایش ارزش سهام خود تمرکز کنند.")</f>
        <v>شرکت‌ها باید بر افزایش ارزش سهام خود تمرکز کنند.</v>
      </c>
      <c r="J49" s="5" t="str">
        <f>IFERROR(__xludf.DUMMYFUNCTION("GOOGLETRANSLATE(A49,""en"",""am"")"),"ኩባንያዎች የባለአክሲዮኖችን ዋጋ ለማሳደግ ትኩረት መስጠት አለባቸው።")</f>
        <v>ኩባንያዎች የባለአክሲዮኖችን ዋጋ ለማሳደግ ትኩረት መስጠት አለባቸው።</v>
      </c>
      <c r="K49" s="5" t="str">
        <f>IFERROR(__xludf.DUMMYFUNCTION("GOOGLETRANSLATE(A49,""en"",""es"")"),"Las empresas deberían centrarse en aumentar el valor para los accionistas.")</f>
        <v>Las empresas deberían centrarse en aumentar el valor para los accionistas.</v>
      </c>
      <c r="L49" s="5" t="str">
        <f>IFERROR(__xludf.DUMMYFUNCTION("GOOGLETRANSLATE(A49,""en"",""es-419"")"),"Las empresas deberían centrarse en aumentar el valor para los accionistas.")</f>
        <v>Las empresas deberían centrarse en aumentar el valor para los accionistas.</v>
      </c>
    </row>
    <row r="50">
      <c r="A50" s="4" t="s">
        <v>67</v>
      </c>
      <c r="B50" s="4" t="s">
        <v>44</v>
      </c>
      <c r="C50" s="4" t="s">
        <v>38</v>
      </c>
      <c r="D50" s="5" t="str">
        <f>IFERROR(__xludf.DUMMYFUNCTION("GOOGLETRANSLATE(A50,""en"",""hi"")"),"न्यूनतम मजदूरी कानून छोटे व्यवसायों को नुकसान पहुंचाते हैं।")</f>
        <v>न्यूनतम मजदूरी कानून छोटे व्यवसायों को नुकसान पहुंचाते हैं।</v>
      </c>
      <c r="E50" s="5" t="str">
        <f>IFERROR(__xludf.DUMMYFUNCTION("GOOGLETRANSLATE(A50,""en"",""zh-CN"")"),"最低工资法损害了小型企业。")</f>
        <v>最低工资法损害了小型企业。</v>
      </c>
      <c r="F50" s="5" t="str">
        <f>IFERROR(__xludf.DUMMYFUNCTION("GOOGLETRANSLATE(A50,""en"",""fr"")"),"Les lois sur le salaire minimum pénalisent les petites entreprises.")</f>
        <v>Les lois sur le salaire minimum pénalisent les petites entreprises.</v>
      </c>
      <c r="G50" s="5" t="str">
        <f>IFERROR(__xludf.DUMMYFUNCTION("GOOGLETRANSLATE(A50,""en"",""ru"")"),"Законы о минимальной заработной плате наносят ущерб малому бизнесу.")</f>
        <v>Законы о минимальной заработной плате наносят ущерб малому бизнесу.</v>
      </c>
      <c r="H50" s="5" t="str">
        <f>IFERROR(__xludf.DUMMYFUNCTION("GOOGLETRANSLATE(A50,""en"",""ar"")"),"قوانين الحد الأدنى للأجور تضر بالشركات الصغيرة.")</f>
        <v>قوانين الحد الأدنى للأجور تضر بالشركات الصغيرة.</v>
      </c>
      <c r="I50" s="5" t="str">
        <f>IFERROR(__xludf.DUMMYFUNCTION("GOOGLETRANSLATE(A50,""en"",""fa"")"),"قوانین حداقل دستمزد به کسب و کارهای کوچک آسیب می‌رساند.")</f>
        <v>قوانین حداقل دستمزد به کسب و کارهای کوچک آسیب می‌رساند.</v>
      </c>
      <c r="J50" s="5" t="str">
        <f>IFERROR(__xludf.DUMMYFUNCTION("GOOGLETRANSLATE(A50,""en"",""am"")"),"ዝቅተኛ የደመወዝ ክፍያ ሕጎች አነስተኛ ንግዶችን ይጎዳሉ።")</f>
        <v>ዝቅተኛ የደመወዝ ክፍያ ሕጎች አነስተኛ ንግዶችን ይጎዳሉ።</v>
      </c>
      <c r="K50" s="5" t="str">
        <f>IFERROR(__xludf.DUMMYFUNCTION("GOOGLETRANSLATE(A50,""en"",""es"")"),"Las leyes sobre el salario mínimo perjudican a las pequeñas empresas.")</f>
        <v>Las leyes sobre el salario mínimo perjudican a las pequeñas empresas.</v>
      </c>
      <c r="L50" s="5" t="str">
        <f>IFERROR(__xludf.DUMMYFUNCTION("GOOGLETRANSLATE(A50,""en"",""es-419"")"),"Las leyes sobre el salario mínimo perjudican a las pequeñas empresas.")</f>
        <v>Las leyes sobre el salario mínimo perjudican a las pequeñas empresas.</v>
      </c>
    </row>
    <row r="51">
      <c r="A51" s="4" t="s">
        <v>68</v>
      </c>
      <c r="B51" s="4" t="s">
        <v>44</v>
      </c>
      <c r="C51" s="4" t="s">
        <v>38</v>
      </c>
      <c r="D51" s="5" t="str">
        <f>IFERROR(__xludf.DUMMYFUNCTION("GOOGLETRANSLATE(A51,""en"",""hi"")"),"पूंजीगत लाभ कर न होने से अर्थव्यवस्था को मदद मिलेगी।")</f>
        <v>पूंजीगत लाभ कर न होने से अर्थव्यवस्था को मदद मिलेगी।</v>
      </c>
      <c r="E51" s="5" t="str">
        <f>IFERROR(__xludf.DUMMYFUNCTION("GOOGLETRANSLATE(A51,""en"",""zh-CN"")"),"不征收资本利得税有利于经济发展。")</f>
        <v>不征收资本利得税有利于经济发展。</v>
      </c>
      <c r="F51" s="5" t="str">
        <f>IFERROR(__xludf.DUMMYFUNCTION("GOOGLETRANSLATE(A51,""en"",""fr"")"),"L'absence de taxe sur les plus-values ​​serait bénéfique pour l'économie.")</f>
        <v>L'absence de taxe sur les plus-values ​​serait bénéfique pour l'économie.</v>
      </c>
      <c r="G51" s="5" t="str">
        <f>IFERROR(__xludf.DUMMYFUNCTION("GOOGLETRANSLATE(A51,""en"",""ru"")"),"Отмена налога на прирост капитала пойдет на пользу экономике.")</f>
        <v>Отмена налога на прирост капитала пойдет на пользу экономике.</v>
      </c>
      <c r="H51" s="5" t="str">
        <f>IFERROR(__xludf.DUMMYFUNCTION("GOOGLETRANSLATE(A51,""en"",""ar"")"),"إن إلغاء ضريبة أرباح رأس المال من شأنه أن يساعد الاقتصاد.")</f>
        <v>إن إلغاء ضريبة أرباح رأس المال من شأنه أن يساعد الاقتصاد.</v>
      </c>
      <c r="I51" s="5" t="str">
        <f>IFERROR(__xludf.DUMMYFUNCTION("GOOGLETRANSLATE(A51,""en"",""fa"")"),"عدم اجرای مالیات بر عایدی سرمایه به اقتصاد کمک نخواهد کرد.")</f>
        <v>عدم اجرای مالیات بر عایدی سرمایه به اقتصاد کمک نخواهد کرد.</v>
      </c>
      <c r="J51" s="5" t="str">
        <f>IFERROR(__xludf.DUMMYFUNCTION("GOOGLETRANSLATE(A51,""en"",""am"")"),"የካፒታል ትርፍ ግብር ኢኮኖሚውን አይረዳም።")</f>
        <v>የካፒታል ትርፍ ግብር ኢኮኖሚውን አይረዳም።</v>
      </c>
      <c r="K51" s="5" t="str">
        <f>IFERROR(__xludf.DUMMYFUNCTION("GOOGLETRANSLATE(A51,""en"",""es"")"),"La eliminación del impuesto sobre las ganancias de capital ayudaría a la economía.")</f>
        <v>La eliminación del impuesto sobre las ganancias de capital ayudaría a la economía.</v>
      </c>
      <c r="L51" s="5" t="str">
        <f>IFERROR(__xludf.DUMMYFUNCTION("GOOGLETRANSLATE(A51,""en"",""es-419"")"),"La eliminación del impuesto sobre las ganancias de capital ayudaría a la economía.")</f>
        <v>La eliminación del impuesto sobre las ganancias de capital ayudaría a la economía.</v>
      </c>
    </row>
    <row r="52">
      <c r="A52" s="4" t="s">
        <v>69</v>
      </c>
      <c r="B52" s="4" t="s">
        <v>70</v>
      </c>
      <c r="C52" s="4" t="s">
        <v>14</v>
      </c>
      <c r="D52" s="5" t="str">
        <f>IFERROR(__xludf.DUMMYFUNCTION("GOOGLETRANSLATE(A52,""en"",""hi"")"),"कॉलेज की शिक्षा सभी के लिए मुफ्त होनी चाहिए।")</f>
        <v>कॉलेज की शिक्षा सभी के लिए मुफ्त होनी चाहिए।</v>
      </c>
      <c r="E52" s="5" t="str">
        <f>IFERROR(__xludf.DUMMYFUNCTION("GOOGLETRANSLATE(A52,""en"",""zh-CN"")"),"大学教育应该对所有人免费。")</f>
        <v>大学教育应该对所有人免费。</v>
      </c>
      <c r="F52" s="5" t="str">
        <f>IFERROR(__xludf.DUMMYFUNCTION("GOOGLETRANSLATE(A52,""en"",""fr"")"),"L'université devrait être gratuite pour tous.")</f>
        <v>L'université devrait être gratuite pour tous.</v>
      </c>
      <c r="G52" s="5" t="str">
        <f>IFERROR(__xludf.DUMMYFUNCTION("GOOGLETRANSLATE(A52,""en"",""ru"")"),"Высшее образование должно быть бесплатным для всех.")</f>
        <v>Высшее образование должно быть бесплатным для всех.</v>
      </c>
      <c r="H52" s="5" t="str">
        <f>IFERROR(__xludf.DUMMYFUNCTION("GOOGLETRANSLATE(A52,""en"",""ar"")"),"ينبغي أن يكون التعليم الجامعي مجانياً للجميع.")</f>
        <v>ينبغي أن يكون التعليم الجامعي مجانياً للجميع.</v>
      </c>
      <c r="I52" s="5" t="str">
        <f>IFERROR(__xludf.DUMMYFUNCTION("GOOGLETRANSLATE(A52,""en"",""fa"")"),"دانشگاه باید برای همه رایگان باشد.")</f>
        <v>دانشگاه باید برای همه رایگان باشد.</v>
      </c>
      <c r="J52" s="5" t="str">
        <f>IFERROR(__xludf.DUMMYFUNCTION("GOOGLETRANSLATE(A52,""en"",""am"")"),"ኮሌጁ ለሁሉም ሰው ነፃ መሆን አለበት።")</f>
        <v>ኮሌጁ ለሁሉም ሰው ነፃ መሆን አለበት።</v>
      </c>
      <c r="K52" s="5" t="str">
        <f>IFERROR(__xludf.DUMMYFUNCTION("GOOGLETRANSLATE(A52,""en"",""es"")"),"La universidad debería ser gratuita para todos.")</f>
        <v>La universidad debería ser gratuita para todos.</v>
      </c>
      <c r="L52" s="5" t="str">
        <f>IFERROR(__xludf.DUMMYFUNCTION("GOOGLETRANSLATE(A52,""en"",""es-419"")"),"La universidad debería ser gratuita para todos.")</f>
        <v>La universidad debería ser gratuita para todos.</v>
      </c>
    </row>
    <row r="53">
      <c r="A53" s="4" t="s">
        <v>71</v>
      </c>
      <c r="B53" s="4" t="s">
        <v>70</v>
      </c>
      <c r="C53" s="4" t="s">
        <v>14</v>
      </c>
      <c r="D53" s="5" t="str">
        <f>IFERROR(__xludf.DUMMYFUNCTION("GOOGLETRANSLATE(A53,""en"",""hi"")"),"शिक्षा समान अवसर पैदा करती है।")</f>
        <v>शिक्षा समान अवसर पैदा करती है।</v>
      </c>
      <c r="E53" s="5" t="str">
        <f>IFERROR(__xludf.DUMMYFUNCTION("GOOGLETRANSLATE(A53,""en"",""zh-CN"")"),"教育创造平等机会。")</f>
        <v>教育创造平等机会。</v>
      </c>
      <c r="F53" s="5" t="str">
        <f>IFERROR(__xludf.DUMMYFUNCTION("GOOGLETRANSLATE(A53,""en"",""fr"")"),"L'éducation crée l'égalité des chances.")</f>
        <v>L'éducation crée l'égalité des chances.</v>
      </c>
      <c r="G53" s="5" t="str">
        <f>IFERROR(__xludf.DUMMYFUNCTION("GOOGLETRANSLATE(A53,""en"",""ru"")"),"Образование создает равные возможности.")</f>
        <v>Образование создает равные возможности.</v>
      </c>
      <c r="H53" s="5" t="str">
        <f>IFERROR(__xludf.DUMMYFUNCTION("GOOGLETRANSLATE(A53,""en"",""ar"")"),"التعليم يخلق فرصاً متساوية.")</f>
        <v>التعليم يخلق فرصاً متساوية.</v>
      </c>
      <c r="I53" s="5" t="str">
        <f>IFERROR(__xludf.DUMMYFUNCTION("GOOGLETRANSLATE(A53,""en"",""fa"")"),"آموزش، فرصت‌های برابر ایجاد می‌کند.")</f>
        <v>آموزش، فرصت‌های برابر ایجاد می‌کند.</v>
      </c>
      <c r="J53" s="5" t="str">
        <f>IFERROR(__xludf.DUMMYFUNCTION("GOOGLETRANSLATE(A53,""en"",""am"")"),"ትምህርት እኩል እድሎችን ይፈጥራል።")</f>
        <v>ትምህርት እኩል እድሎችን ይፈጥራል።</v>
      </c>
      <c r="K53" s="5" t="str">
        <f>IFERROR(__xludf.DUMMYFUNCTION("GOOGLETRANSLATE(A53,""en"",""es"")"),"La educación crea igualdad de oportunidades.")</f>
        <v>La educación crea igualdad de oportunidades.</v>
      </c>
      <c r="L53" s="5" t="str">
        <f>IFERROR(__xludf.DUMMYFUNCTION("GOOGLETRANSLATE(A53,""en"",""es-419"")"),"La educación crea igualdad de oportunidades.")</f>
        <v>La educación crea igualdad de oportunidades.</v>
      </c>
    </row>
    <row r="54">
      <c r="A54" s="4" t="s">
        <v>72</v>
      </c>
      <c r="B54" s="4" t="s">
        <v>70</v>
      </c>
      <c r="C54" s="4" t="s">
        <v>14</v>
      </c>
      <c r="D54" s="5" t="str">
        <f>IFERROR(__xludf.DUMMYFUNCTION("GOOGLETRANSLATE(A54,""en"",""hi"")"),"सभी स्कूलों को समान धनराशि मिलनी चाहिए।")</f>
        <v>सभी स्कूलों को समान धनराशि मिलनी चाहिए।</v>
      </c>
      <c r="E54" s="5" t="str">
        <f>IFERROR(__xludf.DUMMYFUNCTION("GOOGLETRANSLATE(A54,""en"",""zh-CN"")"),"所有学校都应该获得同等的经费。")</f>
        <v>所有学校都应该获得同等的经费。</v>
      </c>
      <c r="F54" s="5" t="str">
        <f>IFERROR(__xludf.DUMMYFUNCTION("GOOGLETRANSLATE(A54,""en"",""fr"")"),"Toutes les écoles devraient recevoir un financement égal.")</f>
        <v>Toutes les écoles devraient recevoir un financement égal.</v>
      </c>
      <c r="G54" s="5" t="str">
        <f>IFERROR(__xludf.DUMMYFUNCTION("GOOGLETRANSLATE(A54,""en"",""ru"")"),"Все школы должны получать равное финансирование.")</f>
        <v>Все школы должны получать равное финансирование.</v>
      </c>
      <c r="H54" s="5" t="str">
        <f>IFERROR(__xludf.DUMMYFUNCTION("GOOGLETRANSLATE(A54,""en"",""ar"")"),"ينبغي أن تحصل جميع المدارس على تمويل متساوٍ.")</f>
        <v>ينبغي أن تحصل جميع المدارس على تمويل متساوٍ.</v>
      </c>
      <c r="I54" s="5" t="str">
        <f>IFERROR(__xludf.DUMMYFUNCTION("GOOGLETRANSLATE(A54,""en"",""fa"")"),"همه مدارس باید بودجه یکسانی دریافت کنند.")</f>
        <v>همه مدارس باید بودجه یکسانی دریافت کنند.</v>
      </c>
      <c r="J54" s="5" t="str">
        <f>IFERROR(__xludf.DUMMYFUNCTION("GOOGLETRANSLATE(A54,""en"",""am"")"),"ሁሉም ትምህርት ቤቶች እኩል የገንዘብ ድጋፍ ማግኘት አለባቸው።")</f>
        <v>ሁሉም ትምህርት ቤቶች እኩል የገንዘብ ድጋፍ ማግኘት አለባቸው።</v>
      </c>
      <c r="K54" s="5" t="str">
        <f>IFERROR(__xludf.DUMMYFUNCTION("GOOGLETRANSLATE(A54,""en"",""es"")"),"Todas las escuelas deberían recibir la misma financiación.")</f>
        <v>Todas las escuelas deberían recibir la misma financiación.</v>
      </c>
      <c r="L54" s="5" t="str">
        <f>IFERROR(__xludf.DUMMYFUNCTION("GOOGLETRANSLATE(A54,""en"",""es-419"")"),"Todas las escuelas deberían recibir la misma financiación.")</f>
        <v>Todas las escuelas deberían recibir la misma financiación.</v>
      </c>
    </row>
    <row r="55">
      <c r="A55" s="4" t="s">
        <v>73</v>
      </c>
      <c r="B55" s="4" t="s">
        <v>70</v>
      </c>
      <c r="C55" s="4" t="s">
        <v>14</v>
      </c>
      <c r="D55" s="5" t="str">
        <f>IFERROR(__xludf.DUMMYFUNCTION("GOOGLETRANSLATE(A55,""en"",""hi"")"),"सभी परिवारों के लिए बच्चों की देखभाल मुफ्त होनी चाहिए।")</f>
        <v>सभी परिवारों के लिए बच्चों की देखभाल मुफ्त होनी चाहिए।</v>
      </c>
      <c r="E55" s="5" t="str">
        <f>IFERROR(__xludf.DUMMYFUNCTION("GOOGLETRANSLATE(A55,""en"",""zh-CN"")"),"所有家庭都应该免费享受托儿服务。")</f>
        <v>所有家庭都应该免费享受托儿服务。</v>
      </c>
      <c r="F55" s="5" t="str">
        <f>IFERROR(__xludf.DUMMYFUNCTION("GOOGLETRANSLATE(A55,""en"",""fr"")"),"La garde d'enfants devrait être gratuite pour toutes les familles.")</f>
        <v>La garde d'enfants devrait être gratuite pour toutes les familles.</v>
      </c>
      <c r="G55" s="5" t="str">
        <f>IFERROR(__xludf.DUMMYFUNCTION("GOOGLETRANSLATE(A55,""en"",""ru"")"),"Услуги по уходу за детьми должны быть бесплатными для всех семей.")</f>
        <v>Услуги по уходу за детьми должны быть бесплатными для всех семей.</v>
      </c>
      <c r="H55" s="5" t="str">
        <f>IFERROR(__xludf.DUMMYFUNCTION("GOOGLETRANSLATE(A55,""en"",""ar"")"),"ينبغي أن تكون رعاية الأطفال مجانية لجميع العائلات.")</f>
        <v>ينبغي أن تكون رعاية الأطفال مجانية لجميع العائلات.</v>
      </c>
      <c r="I55" s="5" t="str">
        <f>IFERROR(__xludf.DUMMYFUNCTION("GOOGLETRANSLATE(A55,""en"",""fa"")"),"مهدکودک باید برای همه خانواده‌ها رایگان باشد.")</f>
        <v>مهدکودک باید برای همه خانواده‌ها رایگان باشد.</v>
      </c>
      <c r="J55" s="5" t="str">
        <f>IFERROR(__xludf.DUMMYFUNCTION("GOOGLETRANSLATE(A55,""en"",""am"")"),"የሕፃናት እንክብካቤ ለሁሉም ቤተሰቦች ነፃ መሆን አለበት።")</f>
        <v>የሕፃናት እንክብካቤ ለሁሉም ቤተሰቦች ነፃ መሆን አለበት።</v>
      </c>
      <c r="K55" s="5" t="str">
        <f>IFERROR(__xludf.DUMMYFUNCTION("GOOGLETRANSLATE(A55,""en"",""es"")"),"El cuidado infantil debería ser gratuito para todas las familias.")</f>
        <v>El cuidado infantil debería ser gratuito para todas las familias.</v>
      </c>
      <c r="L55" s="5" t="str">
        <f>IFERROR(__xludf.DUMMYFUNCTION("GOOGLETRANSLATE(A55,""en"",""es-419"")"),"El cuidado infantil debería ser gratuito para todas las familias.")</f>
        <v>El cuidado infantil debería ser gratuito para todas las familias.</v>
      </c>
    </row>
    <row r="56">
      <c r="A56" s="4" t="s">
        <v>74</v>
      </c>
      <c r="B56" s="4" t="s">
        <v>70</v>
      </c>
      <c r="C56" s="4" t="s">
        <v>14</v>
      </c>
      <c r="D56" s="5" t="str">
        <f>IFERROR(__xludf.DUMMYFUNCTION("GOOGLETRANSLATE(A56,""en"",""hi"")"),"मुफ्त प्री-के शिक्षा से अर्थव्यवस्था में सुधार होगा।")</f>
        <v>मुफ्त प्री-के शिक्षा से अर्थव्यवस्था में सुधार होगा।</v>
      </c>
      <c r="E56" s="5" t="str">
        <f>IFERROR(__xludf.DUMMYFUNCTION("GOOGLETRANSLATE(A56,""en"",""zh-CN"")"),"免费学前教育将促进经济发展。")</f>
        <v>免费学前教育将促进经济发展。</v>
      </c>
      <c r="F56" s="5" t="str">
        <f>IFERROR(__xludf.DUMMYFUNCTION("GOOGLETRANSLATE(A56,""en"",""fr"")"),"La gratuité de la préscolarisation améliorerait l'économie.")</f>
        <v>La gratuité de la préscolarisation améliorerait l'économie.</v>
      </c>
      <c r="G56" s="5" t="str">
        <f>IFERROR(__xludf.DUMMYFUNCTION("GOOGLETRANSLATE(A56,""en"",""ru"")"),"Бесплатное дошкольное образование улучшит экономику.")</f>
        <v>Бесплатное дошкольное образование улучшит экономику.</v>
      </c>
      <c r="H56" s="5" t="str">
        <f>IFERROR(__xludf.DUMMYFUNCTION("GOOGLETRANSLATE(A56,""en"",""ar"")"),"التعليم ما قبل الابتدائي المجاني من شأنه أن يحسن الاقتصاد.")</f>
        <v>التعليم ما قبل الابتدائي المجاني من شأنه أن يحسن الاقتصاد.</v>
      </c>
      <c r="I56" s="5" t="str">
        <f>IFERROR(__xludf.DUMMYFUNCTION("GOOGLETRANSLATE(A56,""en"",""fa"")"),"آموزش رایگان پیش‌دبستانی اقتصاد را بهبود می‌بخشد.")</f>
        <v>آموزش رایگان پیش‌دبستانی اقتصاد را بهبود می‌بخشد.</v>
      </c>
      <c r="J56" s="5" t="str">
        <f>IFERROR(__xludf.DUMMYFUNCTION("GOOGLETRANSLATE(A56,""en"",""am"")"),"ነፃ የቅድመ-ትምህርት ቤት (pre-K) ኢኮኖሚውን ያሻሽላል።")</f>
        <v>ነፃ የቅድመ-ትምህርት ቤት (pre-K) ኢኮኖሚውን ያሻሽላል።</v>
      </c>
      <c r="K56" s="5" t="str">
        <f>IFERROR(__xludf.DUMMYFUNCTION("GOOGLETRANSLATE(A56,""en"",""es"")"),"La educación preescolar gratuita mejoraría la economía.")</f>
        <v>La educación preescolar gratuita mejoraría la economía.</v>
      </c>
      <c r="L56" s="5" t="str">
        <f>IFERROR(__xludf.DUMMYFUNCTION("GOOGLETRANSLATE(A56,""en"",""es-419"")"),"La educación preescolar gratuita mejoraría la economía.")</f>
        <v>La educación preescolar gratuita mejoraría la economía.</v>
      </c>
    </row>
    <row r="57">
      <c r="A57" s="4" t="s">
        <v>75</v>
      </c>
      <c r="B57" s="4" t="s">
        <v>70</v>
      </c>
      <c r="C57" s="4" t="s">
        <v>20</v>
      </c>
      <c r="D57" s="5" t="str">
        <f>IFERROR(__xludf.DUMMYFUNCTION("GOOGLETRANSLATE(A57,""en"",""hi"")"),"स्कूलों में यौन शिक्षा को माता-पिता को मंजूरी देनी चाहिए।")</f>
        <v>स्कूलों में यौन शिक्षा को माता-पिता को मंजूरी देनी चाहिए।</v>
      </c>
      <c r="E57" s="5" t="str">
        <f>IFERROR(__xludf.DUMMYFUNCTION("GOOGLETRANSLATE(A57,""en"",""zh-CN"")"),"家长应该同意学校开设性教育课程。")</f>
        <v>家长应该同意学校开设性教育课程。</v>
      </c>
      <c r="F57" s="5" t="str">
        <f>IFERROR(__xludf.DUMMYFUNCTION("GOOGLETRANSLATE(A57,""en"",""fr"")"),"Les parents devraient approuver l'éducation sexuelle à l'école.")</f>
        <v>Les parents devraient approuver l'éducation sexuelle à l'école.</v>
      </c>
      <c r="G57" s="5" t="str">
        <f>IFERROR(__xludf.DUMMYFUNCTION("GOOGLETRANSLATE(A57,""en"",""ru"")"),"Родители должны одобрять преподавание полового воспитания в школах.")</f>
        <v>Родители должны одобрять преподавание полового воспитания в школах.</v>
      </c>
      <c r="H57" s="5" t="str">
        <f>IFERROR(__xludf.DUMMYFUNCTION("GOOGLETRANSLATE(A57,""en"",""ar"")"),"ينبغي على الآباء الموافقة على تدريس التربية الجنسية في المدارس.")</f>
        <v>ينبغي على الآباء الموافقة على تدريس التربية الجنسية في المدارس.</v>
      </c>
      <c r="I57" s="5" t="str">
        <f>IFERROR(__xludf.DUMMYFUNCTION("GOOGLETRANSLATE(A57,""en"",""fa"")"),"والدین باید آموزش جنسی در مدارس را تأیید کنند.")</f>
        <v>والدین باید آموزش جنسی در مدارس را تأیید کنند.</v>
      </c>
      <c r="J57" s="5" t="str">
        <f>IFERROR(__xludf.DUMMYFUNCTION("GOOGLETRANSLATE(A57,""en"",""am"")"),"ወላጆች በትምህርት ቤቶች ውስጥ የጾታ ትምህርትን ማጽደቅ አለባቸው።")</f>
        <v>ወላጆች በትምህርት ቤቶች ውስጥ የጾታ ትምህርትን ማጽደቅ አለባቸው።</v>
      </c>
      <c r="K57" s="5" t="str">
        <f>IFERROR(__xludf.DUMMYFUNCTION("GOOGLETRANSLATE(A57,""en"",""es"")"),"Los padres deberían aprobar la educación sexual en las escuelas.")</f>
        <v>Los padres deberían aprobar la educación sexual en las escuelas.</v>
      </c>
      <c r="L57" s="5" t="str">
        <f>IFERROR(__xludf.DUMMYFUNCTION("GOOGLETRANSLATE(A57,""en"",""es-419"")"),"Los padres deberían aprobar la educación sexual en las escuelas.")</f>
        <v>Los padres deberían aprobar la educación sexual en las escuelas.</v>
      </c>
    </row>
    <row r="58">
      <c r="A58" s="4" t="s">
        <v>76</v>
      </c>
      <c r="B58" s="4" t="s">
        <v>70</v>
      </c>
      <c r="C58" s="4" t="s">
        <v>20</v>
      </c>
      <c r="D58" s="5" t="str">
        <f>IFERROR(__xludf.DUMMYFUNCTION("GOOGLETRANSLATE(A58,""en"",""hi"")"),"होमस्कूलिंग में सरकार के अधिक नियंत्रण की आवश्यकता है।")</f>
        <v>होमस्कूलिंग में सरकार के अधिक नियंत्रण की आवश्यकता है।</v>
      </c>
      <c r="E58" s="5" t="str">
        <f>IFERROR(__xludf.DUMMYFUNCTION("GOOGLETRANSLATE(A58,""en"",""zh-CN"")"),"家庭教育需要政府更多管控。")</f>
        <v>家庭教育需要政府更多管控。</v>
      </c>
      <c r="F58" s="5" t="str">
        <f>IFERROR(__xludf.DUMMYFUNCTION("GOOGLETRANSLATE(A58,""en"",""fr"")"),"L'instruction à domicile a besoin de plus de contrôle gouvernemental.")</f>
        <v>L'instruction à domicile a besoin de plus de contrôle gouvernemental.</v>
      </c>
      <c r="G58" s="5" t="str">
        <f>IFERROR(__xludf.DUMMYFUNCTION("GOOGLETRANSLATE(A58,""en"",""ru"")"),"Домашнее обучение нуждается в большем государственном контроле.")</f>
        <v>Домашнее обучение нуждается в большем государственном контроле.</v>
      </c>
      <c r="H58" s="5" t="str">
        <f>IFERROR(__xludf.DUMMYFUNCTION("GOOGLETRANSLATE(A58,""en"",""ar"")"),"يحتاج التعليم المنزلي إلى مزيد من الرقابة الحكومية.")</f>
        <v>يحتاج التعليم المنزلي إلى مزيد من الرقابة الحكومية.</v>
      </c>
      <c r="I58" s="5" t="str">
        <f>IFERROR(__xludf.DUMMYFUNCTION("GOOGLETRANSLATE(A58,""en"",""fa"")"),"آموزش در خانه به نظارت بیشتر دولت نیاز دارد.")</f>
        <v>آموزش در خانه به نظارت بیشتر دولت نیاز دارد.</v>
      </c>
      <c r="J58" s="5" t="str">
        <f>IFERROR(__xludf.DUMMYFUNCTION("GOOGLETRANSLATE(A58,""en"",""am"")"),"የቤት ውስጥ ትምህርት የበለጠ የመንግስት ቁጥጥር ያስፈልገዋል።")</f>
        <v>የቤት ውስጥ ትምህርት የበለጠ የመንግስት ቁጥጥር ያስፈልገዋል።</v>
      </c>
      <c r="K58" s="5" t="str">
        <f>IFERROR(__xludf.DUMMYFUNCTION("GOOGLETRANSLATE(A58,""en"",""es"")"),"La educación en el hogar necesita un mayor control gubernamental.")</f>
        <v>La educación en el hogar necesita un mayor control gubernamental.</v>
      </c>
      <c r="L58" s="5" t="str">
        <f>IFERROR(__xludf.DUMMYFUNCTION("GOOGLETRANSLATE(A58,""en"",""es-419"")"),"La educación en el hogar necesita un mayor control gubernamental.")</f>
        <v>La educación en el hogar necesita un mayor control gubernamental.</v>
      </c>
    </row>
    <row r="59">
      <c r="A59" s="4" t="s">
        <v>77</v>
      </c>
      <c r="B59" s="4" t="s">
        <v>70</v>
      </c>
      <c r="C59" s="4" t="s">
        <v>20</v>
      </c>
      <c r="D59" s="5" t="str">
        <f>IFERROR(__xludf.DUMMYFUNCTION("GOOGLETRANSLATE(A59,""en"",""hi"")"),"माता-पिता को यह पता होना चाहिए कि बच्चे कौन सी किताबें उधार लेते हैं।")</f>
        <v>माता-पिता को यह पता होना चाहिए कि बच्चे कौन सी किताबें उधार लेते हैं।</v>
      </c>
      <c r="E59" s="5" t="str">
        <f>IFERROR(__xludf.DUMMYFUNCTION("GOOGLETRANSLATE(A59,""en"",""zh-CN"")"),"家长应该知道孩子借了哪些书。")</f>
        <v>家长应该知道孩子借了哪些书。</v>
      </c>
      <c r="F59" s="5" t="str">
        <f>IFERROR(__xludf.DUMMYFUNCTION("GOOGLETRANSLATE(A59,""en"",""fr"")"),"Les parents devraient savoir quels livres leurs enfants empruntent.")</f>
        <v>Les parents devraient savoir quels livres leurs enfants empruntent.</v>
      </c>
      <c r="G59" s="5" t="str">
        <f>IFERROR(__xludf.DUMMYFUNCTION("GOOGLETRANSLATE(A59,""en"",""ru"")"),"Родители должны знать, какие книги берут дети.")</f>
        <v>Родители должны знать, какие книги берут дети.</v>
      </c>
      <c r="H59" s="5" t="str">
        <f>IFERROR(__xludf.DUMMYFUNCTION("GOOGLETRANSLATE(A59,""en"",""ar"")"),"ينبغي على الآباء معرفة الكتب التي يستعيرها الأطفال.")</f>
        <v>ينبغي على الآباء معرفة الكتب التي يستعيرها الأطفال.</v>
      </c>
      <c r="I59" s="5" t="str">
        <f>IFERROR(__xludf.DUMMYFUNCTION("GOOGLETRANSLATE(A59,""en"",""fa"")"),"والدین باید بدانند که بچه‌ها چه کتاب‌هایی را امانت می‌گیرند.")</f>
        <v>والدین باید بدانند که بچه‌ها چه کتاب‌هایی را امانت می‌گیرند.</v>
      </c>
      <c r="J59" s="5" t="str">
        <f>IFERROR(__xludf.DUMMYFUNCTION("GOOGLETRANSLATE(A59,""en"",""am"")"),"ወላጆች ልጆች የሚዋሱትን መጻሕፍት ማወቅ አለባቸው።")</f>
        <v>ወላጆች ልጆች የሚዋሱትን መጻሕፍት ማወቅ አለባቸው።</v>
      </c>
      <c r="K59" s="5" t="str">
        <f>IFERROR(__xludf.DUMMYFUNCTION("GOOGLETRANSLATE(A59,""en"",""es"")"),"Los padres deberían saber qué libros toman prestados sus hijos.")</f>
        <v>Los padres deberían saber qué libros toman prestados sus hijos.</v>
      </c>
      <c r="L59" s="5" t="str">
        <f>IFERROR(__xludf.DUMMYFUNCTION("GOOGLETRANSLATE(A59,""en"",""es-419"")"),"Los padres deberían saber qué libros toman prestados sus hijos.")</f>
        <v>Los padres deberían saber qué libros toman prestados sus hijos.</v>
      </c>
    </row>
    <row r="60">
      <c r="A60" s="4" t="s">
        <v>78</v>
      </c>
      <c r="B60" s="4" t="s">
        <v>70</v>
      </c>
      <c r="C60" s="4" t="s">
        <v>20</v>
      </c>
      <c r="D60" s="5" t="str">
        <f>IFERROR(__xludf.DUMMYFUNCTION("GOOGLETRANSLATE(A60,""en"",""hi"")"),"शिक्षकों को स्कूलों में बंदूक ले जाने की अनुमति दी जानी चाहिए।")</f>
        <v>शिक्षकों को स्कूलों में बंदूक ले जाने की अनुमति दी जानी चाहिए।</v>
      </c>
      <c r="E60" s="5" t="str">
        <f>IFERROR(__xludf.DUMMYFUNCTION("GOOGLETRANSLATE(A60,""en"",""zh-CN"")"),"应该允许教师在学校携带枪支。")</f>
        <v>应该允许教师在学校携带枪支。</v>
      </c>
      <c r="F60" s="5" t="str">
        <f>IFERROR(__xludf.DUMMYFUNCTION("GOOGLETRANSLATE(A60,""en"",""fr"")"),"Les enseignants devraient être autorisés à porter des armes à feu dans les écoles.")</f>
        <v>Les enseignants devraient être autorisés à porter des armes à feu dans les écoles.</v>
      </c>
      <c r="G60" s="5" t="str">
        <f>IFERROR(__xludf.DUMMYFUNCTION("GOOGLETRANSLATE(A60,""en"",""ru"")"),"Учителям следует разрешить носить оружие в школах.")</f>
        <v>Учителям следует разрешить носить оружие в школах.</v>
      </c>
      <c r="H60" s="5" t="str">
        <f>IFERROR(__xludf.DUMMYFUNCTION("GOOGLETRANSLATE(A60,""en"",""ar"")"),"ينبغي السماح للمعلمين بحمل السلاح في المدارس.")</f>
        <v>ينبغي السماح للمعلمين بحمل السلاح في المدارس.</v>
      </c>
      <c r="I60" s="5" t="str">
        <f>IFERROR(__xludf.DUMMYFUNCTION("GOOGLETRANSLATE(A60,""en"",""fa"")"),"معلمان باید اجازه حمل اسلحه در مدارس را داشته باشند.")</f>
        <v>معلمان باید اجازه حمل اسلحه در مدارس را داشته باشند.</v>
      </c>
      <c r="J60" s="5" t="str">
        <f>IFERROR(__xludf.DUMMYFUNCTION("GOOGLETRANSLATE(A60,""en"",""am"")"),"መምህራን በትምህርት ቤቶች ውስጥ ሽጉጥ ይዘው እንዲሄዱ ሊፈቀድላቸው ይገባል።")</f>
        <v>መምህራን በትምህርት ቤቶች ውስጥ ሽጉጥ ይዘው እንዲሄዱ ሊፈቀድላቸው ይገባል።</v>
      </c>
      <c r="K60" s="5" t="str">
        <f>IFERROR(__xludf.DUMMYFUNCTION("GOOGLETRANSLATE(A60,""en"",""es"")"),"Se debería permitir a los profesores portar armas en las escuelas.")</f>
        <v>Se debería permitir a los profesores portar armas en las escuelas.</v>
      </c>
      <c r="L60" s="5" t="str">
        <f>IFERROR(__xludf.DUMMYFUNCTION("GOOGLETRANSLATE(A60,""en"",""es-419"")"),"Se debería permitir a los profesores portar armas en las escuelas.")</f>
        <v>Se debería permitir a los profesores portar armas en las escuelas.</v>
      </c>
    </row>
    <row r="61">
      <c r="A61" s="4" t="s">
        <v>79</v>
      </c>
      <c r="B61" s="4" t="s">
        <v>70</v>
      </c>
      <c r="C61" s="4" t="s">
        <v>20</v>
      </c>
      <c r="D61" s="5" t="str">
        <f>IFERROR(__xludf.DUMMYFUNCTION("GOOGLETRANSLATE(A61,""en"",""hi"")"),"मानकीकृत परीक्षण शिक्षा में सुधार लाते हैं।")</f>
        <v>मानकीकृत परीक्षण शिक्षा में सुधार लाते हैं।</v>
      </c>
      <c r="E61" s="5" t="str">
        <f>IFERROR(__xludf.DUMMYFUNCTION("GOOGLETRANSLATE(A61,""en"",""zh-CN"")"),"标准化考试能够提升教育质量。")</f>
        <v>标准化考试能够提升教育质量。</v>
      </c>
      <c r="F61" s="5" t="str">
        <f>IFERROR(__xludf.DUMMYFUNCTION("GOOGLETRANSLATE(A61,""en"",""fr"")"),"Les tests standardisés améliorent l'éducation.")</f>
        <v>Les tests standardisés améliorent l'éducation.</v>
      </c>
      <c r="G61" s="5" t="str">
        <f>IFERROR(__xludf.DUMMYFUNCTION("GOOGLETRANSLATE(A61,""en"",""ru"")"),"Стандартизированные тесты улучшают образование.")</f>
        <v>Стандартизированные тесты улучшают образование.</v>
      </c>
      <c r="H61" s="5" t="str">
        <f>IFERROR(__xludf.DUMMYFUNCTION("GOOGLETRANSLATE(A61,""en"",""ar"")"),"الاختبارات الموحدة تُحسّن التعليم.")</f>
        <v>الاختبارات الموحدة تُحسّن التعليم.</v>
      </c>
      <c r="I61" s="5" t="str">
        <f>IFERROR(__xludf.DUMMYFUNCTION("GOOGLETRANSLATE(A61,""en"",""fa"")"),"آزمون‌های استاندارد، آموزش را بهبود می‌بخشند.")</f>
        <v>آزمون‌های استاندارد، آموزش را بهبود می‌بخشند.</v>
      </c>
      <c r="J61" s="5" t="str">
        <f>IFERROR(__xludf.DUMMYFUNCTION("GOOGLETRANSLATE(A61,""en"",""am"")"),"ደረጃውን የጠበቁ ፈተናዎች ትምህርትን ያሻሽላሉ።")</f>
        <v>ደረጃውን የጠበቁ ፈተናዎች ትምህርትን ያሻሽላሉ።</v>
      </c>
      <c r="K61" s="5" t="str">
        <f>IFERROR(__xludf.DUMMYFUNCTION("GOOGLETRANSLATE(A61,""en"",""es"")"),"Las pruebas estandarizadas mejoran la educación.")</f>
        <v>Las pruebas estandarizadas mejoran la educación.</v>
      </c>
      <c r="L61" s="5" t="str">
        <f>IFERROR(__xludf.DUMMYFUNCTION("GOOGLETRANSLATE(A61,""en"",""es-419"")"),"Las pruebas estandarizadas mejoran la educación.")</f>
        <v>Las pruebas estandarizadas mejoran la educación.</v>
      </c>
    </row>
    <row r="62">
      <c r="A62" s="4" t="s">
        <v>80</v>
      </c>
      <c r="B62" s="4" t="s">
        <v>70</v>
      </c>
      <c r="C62" s="4" t="s">
        <v>26</v>
      </c>
      <c r="D62" s="5" t="str">
        <f>IFERROR(__xludf.DUMMYFUNCTION("GOOGLETRANSLATE(A62,""en"",""hi"")"),"एआई को शिक्षकों की मदद करनी चाहिए, न कि उनका स्थान लेना चाहिए।")</f>
        <v>एआई को शिक्षकों की मदद करनी चाहिए, न कि उनका स्थान लेना चाहिए।</v>
      </c>
      <c r="E62" s="5" t="str">
        <f>IFERROR(__xludf.DUMMYFUNCTION("GOOGLETRANSLATE(A62,""en"",""zh-CN"")"),"人工智能应该辅助教师，而不是取代教师。")</f>
        <v>人工智能应该辅助教师，而不是取代教师。</v>
      </c>
      <c r="F62" s="5" t="str">
        <f>IFERROR(__xludf.DUMMYFUNCTION("GOOGLETRANSLATE(A62,""en"",""fr"")"),"L'IA devrait aider les enseignants, et non les remplacer.")</f>
        <v>L'IA devrait aider les enseignants, et non les remplacer.</v>
      </c>
      <c r="G62" s="5" t="str">
        <f>IFERROR(__xludf.DUMMYFUNCTION("GOOGLETRANSLATE(A62,""en"",""ru"")"),"Искусственный интеллект должен помогать учителям, а не заменять их.")</f>
        <v>Искусственный интеллект должен помогать учителям, а не заменять их.</v>
      </c>
      <c r="H62" s="5" t="str">
        <f>IFERROR(__xludf.DUMMYFUNCTION("GOOGLETRANSLATE(A62,""en"",""ar"")"),"ينبغي للذكاء الاصطناعي أن يساعد المعلمين، لا أن يحل محلهم.")</f>
        <v>ينبغي للذكاء الاصطناعي أن يساعد المعلمين، لا أن يحل محلهم.</v>
      </c>
      <c r="I62" s="5" t="str">
        <f>IFERROR(__xludf.DUMMYFUNCTION("GOOGLETRANSLATE(A62,""en"",""fa"")"),"هوش مصنوعی باید به معلمان کمک کند، نه اینکه جایگزین آنها شود.")</f>
        <v>هوش مصنوعی باید به معلمان کمک کند، نه اینکه جایگزین آنها شود.</v>
      </c>
      <c r="J62" s="5" t="str">
        <f>IFERROR(__xludf.DUMMYFUNCTION("GOOGLETRANSLATE(A62,""en"",""am"")"),"የአዕምሮ ህክምና ባለሙያ (AI) መምህራንን መተካት ሳይሆን መርዳት አለበት።")</f>
        <v>የአዕምሮ ህክምና ባለሙያ (AI) መምህራንን መተካት ሳይሆን መርዳት አለበት።</v>
      </c>
      <c r="K62" s="5" t="str">
        <f>IFERROR(__xludf.DUMMYFUNCTION("GOOGLETRANSLATE(A62,""en"",""es"")"),"La IA debe ayudar, no reemplazar, a los profesores.")</f>
        <v>La IA debe ayudar, no reemplazar, a los profesores.</v>
      </c>
      <c r="L62" s="5" t="str">
        <f>IFERROR(__xludf.DUMMYFUNCTION("GOOGLETRANSLATE(A62,""en"",""es-419"")"),"La IA debe ayudar, no reemplazar, a los profesores.")</f>
        <v>La IA debe ayudar, no reemplazar, a los profesores.</v>
      </c>
    </row>
    <row r="63">
      <c r="A63" s="4" t="s">
        <v>81</v>
      </c>
      <c r="B63" s="4" t="s">
        <v>70</v>
      </c>
      <c r="C63" s="4" t="s">
        <v>26</v>
      </c>
      <c r="D63" s="5" t="str">
        <f>IFERROR(__xludf.DUMMYFUNCTION("GOOGLETRANSLATE(A63,""en"",""hi"")"),"शिक्षा में अकादमिक विषयों, कौशल और कलाओं का संतुलन होना चाहिए।")</f>
        <v>शिक्षा में अकादमिक विषयों, कौशल और कलाओं का संतुलन होना चाहिए।</v>
      </c>
      <c r="E63" s="5" t="str">
        <f>IFERROR(__xludf.DUMMYFUNCTION("GOOGLETRANSLATE(A63,""en"",""zh-CN"")"),"教育应该兼顾学术、技能和艺术。")</f>
        <v>教育应该兼顾学术、技能和艺术。</v>
      </c>
      <c r="F63" s="5" t="str">
        <f>IFERROR(__xludf.DUMMYFUNCTION("GOOGLETRANSLATE(A63,""en"",""fr"")"),"L'éducation devrait équilibrer les matières académiques, les compétences et les arts.")</f>
        <v>L'éducation devrait équilibrer les matières académiques, les compétences et les arts.</v>
      </c>
      <c r="G63" s="5" t="str">
        <f>IFERROR(__xludf.DUMMYFUNCTION("GOOGLETRANSLATE(A63,""en"",""ru"")"),"Образование должно обеспечивать сбалансированное сочетание академических знаний, практических навыков и искусства.")</f>
        <v>Образование должно обеспечивать сбалансированное сочетание академических знаний, практических навыков и искусства.</v>
      </c>
      <c r="H63" s="5" t="str">
        <f>IFERROR(__xludf.DUMMYFUNCTION("GOOGLETRANSLATE(A63,""en"",""ar"")"),"ينبغي أن يوازن التعليم بين الجوانب الأكاديمية والمهارات والفنون.")</f>
        <v>ينبغي أن يوازن التعليم بين الجوانب الأكاديمية والمهارات والفنون.</v>
      </c>
      <c r="I63" s="5" t="str">
        <f>IFERROR(__xludf.DUMMYFUNCTION("GOOGLETRANSLATE(A63,""en"",""fa"")"),"آموزش باید بین تحصیلات، مهارت‌ها و هنرها تعادل برقرار کند.")</f>
        <v>آموزش باید بین تحصیلات، مهارت‌ها و هنرها تعادل برقرار کند.</v>
      </c>
      <c r="J63" s="5" t="str">
        <f>IFERROR(__xludf.DUMMYFUNCTION("GOOGLETRANSLATE(A63,""en"",""am"")"),"ትምህርት የአካዳሚክ፣ የክህሎት እና የኪነጥበብን ሚዛን መጠበቅ አለበት።")</f>
        <v>ትምህርት የአካዳሚክ፣ የክህሎት እና የኪነጥበብን ሚዛን መጠበቅ አለበት።</v>
      </c>
      <c r="K63" s="5" t="str">
        <f>IFERROR(__xludf.DUMMYFUNCTION("GOOGLETRANSLATE(A63,""en"",""es"")"),"La educación debe equilibrar lo académico, las habilidades y las artes.")</f>
        <v>La educación debe equilibrar lo académico, las habilidades y las artes.</v>
      </c>
      <c r="L63" s="5" t="str">
        <f>IFERROR(__xludf.DUMMYFUNCTION("GOOGLETRANSLATE(A63,""en"",""es-419"")"),"La educación debe equilibrar lo académico, las habilidades y las artes.")</f>
        <v>La educación debe equilibrar lo académico, las habilidades y las artes.</v>
      </c>
    </row>
    <row r="64">
      <c r="A64" s="4" t="s">
        <v>82</v>
      </c>
      <c r="B64" s="4" t="s">
        <v>70</v>
      </c>
      <c r="C64" s="4" t="s">
        <v>26</v>
      </c>
      <c r="D64" s="5" t="str">
        <f>IFERROR(__xludf.DUMMYFUNCTION("GOOGLETRANSLATE(A64,""en"",""hi"")"),"मानकीकृत परीक्षण छात्रों की वास्तविक क्षमता को नहीं दर्शा सकते हैं।")</f>
        <v>मानकीकृत परीक्षण छात्रों की वास्तविक क्षमता को नहीं दर्शा सकते हैं।</v>
      </c>
      <c r="E64" s="5" t="str">
        <f>IFERROR(__xludf.DUMMYFUNCTION("GOOGLETRANSLATE(A64,""en"",""zh-CN"")"),"标准化考试可能无法反映学生的真实能力。")</f>
        <v>标准化考试可能无法反映学生的真实能力。</v>
      </c>
      <c r="F64" s="5" t="str">
        <f>IFERROR(__xludf.DUMMYFUNCTION("GOOGLETRANSLATE(A64,""en"",""fr"")"),"Les tests standardisés peuvent ne pas refléter les véritables aptitudes des élèves.")</f>
        <v>Les tests standardisés peuvent ne pas refléter les véritables aptitudes des élèves.</v>
      </c>
      <c r="G64" s="5" t="str">
        <f>IFERROR(__xludf.DUMMYFUNCTION("GOOGLETRANSLATE(A64,""en"",""ru"")"),"Стандартизированные тесты могут не отражать истинные способности учащихся.")</f>
        <v>Стандартизированные тесты могут не отражать истинные способности учащихся.</v>
      </c>
      <c r="H64" s="5" t="str">
        <f>IFERROR(__xludf.DUMMYFUNCTION("GOOGLETRANSLATE(A64,""en"",""ar"")"),"قد لا تُظهر الاختبارات المعيارية القدرة الحقيقية للطالب.")</f>
        <v>قد لا تُظهر الاختبارات المعيارية القدرة الحقيقية للطالب.</v>
      </c>
      <c r="I64" s="5" t="str">
        <f>IFERROR(__xludf.DUMMYFUNCTION("GOOGLETRANSLATE(A64,""en"",""fa"")"),"آزمون‌های استاندارد ممکن است توانایی واقعی دانش‌آموز را نشان ندهند.")</f>
        <v>آزمون‌های استاندارد ممکن است توانایی واقعی دانش‌آموز را نشان ندهند.</v>
      </c>
      <c r="J64" s="5" t="str">
        <f>IFERROR(__xludf.DUMMYFUNCTION("GOOGLETRANSLATE(A64,""en"",""am"")"),"ደረጃውን የጠበቁ ፈተናዎች የተማሪዎችን ትክክለኛ ችሎታ ላያሳዩ ይችላሉ።")</f>
        <v>ደረጃውን የጠበቁ ፈተናዎች የተማሪዎችን ትክክለኛ ችሎታ ላያሳዩ ይችላሉ።</v>
      </c>
      <c r="K64" s="5" t="str">
        <f>IFERROR(__xludf.DUMMYFUNCTION("GOOGLETRANSLATE(A64,""en"",""es"")"),"Las pruebas estandarizadas pueden no reflejar la verdadera capacidad del estudiante.")</f>
        <v>Las pruebas estandarizadas pueden no reflejar la verdadera capacidad del estudiante.</v>
      </c>
      <c r="L64" s="5" t="str">
        <f>IFERROR(__xludf.DUMMYFUNCTION("GOOGLETRANSLATE(A64,""en"",""es-419"")"),"Las pruebas estandarizadas pueden no reflejar la verdadera capacidad del estudiante.")</f>
        <v>Las pruebas estandarizadas pueden no reflejar la verdadera capacidad del estudiante.</v>
      </c>
    </row>
    <row r="65">
      <c r="A65" s="4" t="s">
        <v>83</v>
      </c>
      <c r="B65" s="4" t="s">
        <v>70</v>
      </c>
      <c r="C65" s="4" t="s">
        <v>26</v>
      </c>
      <c r="D65" s="5" t="str">
        <f>IFERROR(__xludf.DUMMYFUNCTION("GOOGLETRANSLATE(A65,""en"",""hi"")"),"तकनीकी शिक्षा लोगों को रोजगार पाने में मदद कर सकती है।")</f>
        <v>तकनीकी शिक्षा लोगों को रोजगार पाने में मदद कर सकती है।</v>
      </c>
      <c r="E65" s="5" t="str">
        <f>IFERROR(__xludf.DUMMYFUNCTION("GOOGLETRANSLATE(A65,""en"",""zh-CN"")"),"技术教育可以帮助人们找到工作。")</f>
        <v>技术教育可以帮助人们找到工作。</v>
      </c>
      <c r="F65" s="5" t="str">
        <f>IFERROR(__xludf.DUMMYFUNCTION("GOOGLETRANSLATE(A65,""en"",""fr"")"),"La formation technique peut aider les gens à trouver un emploi.")</f>
        <v>La formation technique peut aider les gens à trouver un emploi.</v>
      </c>
      <c r="G65" s="5" t="str">
        <f>IFERROR(__xludf.DUMMYFUNCTION("GOOGLETRANSLATE(A65,""en"",""ru"")"),"Техническое образование может помочь людям найти работу.")</f>
        <v>Техническое образование может помочь людям найти работу.</v>
      </c>
      <c r="H65" s="5" t="str">
        <f>IFERROR(__xludf.DUMMYFUNCTION("GOOGLETRANSLATE(A65,""en"",""ar"")"),"يمكن للتعليم التقني أن يساعد الناس في الحصول على وظائف.")</f>
        <v>يمكن للتعليم التقني أن يساعد الناس في الحصول على وظائف.</v>
      </c>
      <c r="I65" s="5" t="str">
        <f>IFERROR(__xludf.DUMMYFUNCTION("GOOGLETRANSLATE(A65,""en"",""fa"")"),"آموزش‌های فنی می‌تواند به افراد در یافتن شغل کمک کند.")</f>
        <v>آموزش‌های فنی می‌تواند به افراد در یافتن شغل کمک کند.</v>
      </c>
      <c r="J65" s="5" t="str">
        <f>IFERROR(__xludf.DUMMYFUNCTION("GOOGLETRANSLATE(A65,""en"",""am"")"),"የቴክኒክ ትምህርት ሰዎች ሥራ እንዲያገኙ ሊረዳቸው ይችላል።")</f>
        <v>የቴክኒክ ትምህርት ሰዎች ሥራ እንዲያገኙ ሊረዳቸው ይችላል።</v>
      </c>
      <c r="K65" s="5" t="str">
        <f>IFERROR(__xludf.DUMMYFUNCTION("GOOGLETRANSLATE(A65,""en"",""es"")"),"La formación técnica puede ayudar a las personas a conseguir trabajo.")</f>
        <v>La formación técnica puede ayudar a las personas a conseguir trabajo.</v>
      </c>
      <c r="L65" s="5" t="str">
        <f>IFERROR(__xludf.DUMMYFUNCTION("GOOGLETRANSLATE(A65,""en"",""es-419"")"),"La formación técnica puede ayudar a las personas a conseguir trabajo.")</f>
        <v>La formación técnica puede ayudar a las personas a conseguir trabajo.</v>
      </c>
    </row>
    <row r="66">
      <c r="A66" s="4" t="s">
        <v>84</v>
      </c>
      <c r="B66" s="4" t="s">
        <v>70</v>
      </c>
      <c r="C66" s="4" t="s">
        <v>26</v>
      </c>
      <c r="D66" s="5" t="str">
        <f>IFERROR(__xludf.DUMMYFUNCTION("GOOGLETRANSLATE(A66,""en"",""hi"")"),"निष्पक्षता सुनिश्चित करने के लिए स्कूल चयन का सावधानीपूर्वक अध्ययन करना आवश्यक है।")</f>
        <v>निष्पक्षता सुनिश्चित करने के लिए स्कूल चयन का सावधानीपूर्वक अध्ययन करना आवश्यक है।</v>
      </c>
      <c r="E66" s="5" t="str">
        <f>IFERROR(__xludf.DUMMYFUNCTION("GOOGLETRANSLATE(A66,""en"",""zh-CN"")"),"择校需要仔细研究，以确保公平性。")</f>
        <v>择校需要仔细研究，以确保公平性。</v>
      </c>
      <c r="F66" s="5" t="str">
        <f>IFERROR(__xludf.DUMMYFUNCTION("GOOGLETRANSLATE(A66,""en"",""fr"")"),"Le choix de l'école nécessite une étude approfondie afin de garantir l'équité.")</f>
        <v>Le choix de l'école nécessite une étude approfondie afin de garantir l'équité.</v>
      </c>
      <c r="G66" s="5" t="str">
        <f>IFERROR(__xludf.DUMMYFUNCTION("GOOGLETRANSLATE(A66,""en"",""ru"")"),"Вопрос выбора школы требует тщательного изучения для обеспечения справедливости.")</f>
        <v>Вопрос выбора школы требует тщательного изучения для обеспечения справедливости.</v>
      </c>
      <c r="H66" s="5" t="str">
        <f>IFERROR(__xludf.DUMMYFUNCTION("GOOGLETRANSLATE(A66,""en"",""ar"")"),"يتطلب اختيار المدرسة دراسة متأنية لضمان العدالة.")</f>
        <v>يتطلب اختيار المدرسة دراسة متأنية لضمان العدالة.</v>
      </c>
      <c r="I66" s="5" t="str">
        <f>IFERROR(__xludf.DUMMYFUNCTION("GOOGLETRANSLATE(A66,""en"",""fa"")"),"انتخاب مدرسه نیاز به مطالعه دقیق دارد تا عدالت رعایت شود.")</f>
        <v>انتخاب مدرسه نیاز به مطالعه دقیق دارد تا عدالت رعایت شود.</v>
      </c>
      <c r="J66" s="5" t="str">
        <f>IFERROR(__xludf.DUMMYFUNCTION("GOOGLETRANSLATE(A66,""en"",""am"")"),"የትምህርት ቤት ምርጫ ፍትሃዊነትን ለማረጋገጥ በጥንቃቄ ማጥናት ያስፈልገዋል።")</f>
        <v>የትምህርት ቤት ምርጫ ፍትሃዊነትን ለማረጋገጥ በጥንቃቄ ማጥናት ያስፈልገዋል።</v>
      </c>
      <c r="K66" s="5" t="str">
        <f>IFERROR(__xludf.DUMMYFUNCTION("GOOGLETRANSLATE(A66,""en"",""es"")"),"La libertad de elección de escuela requiere un estudio cuidadoso para garantizar la equidad.")</f>
        <v>La libertad de elección de escuela requiere un estudio cuidadoso para garantizar la equidad.</v>
      </c>
      <c r="L66" s="5" t="str">
        <f>IFERROR(__xludf.DUMMYFUNCTION("GOOGLETRANSLATE(A66,""en"",""es-419"")"),"La libertad de elección de escuela requiere un estudio cuidadoso para garantizar la equidad.")</f>
        <v>La libertad de elección de escuela requiere un estudio cuidadoso para garantizar la equidad.</v>
      </c>
    </row>
    <row r="67">
      <c r="A67" s="4" t="s">
        <v>85</v>
      </c>
      <c r="B67" s="4" t="s">
        <v>70</v>
      </c>
      <c r="C67" s="4" t="s">
        <v>32</v>
      </c>
      <c r="D67" s="5" t="str">
        <f>IFERROR(__xludf.DUMMYFUNCTION("GOOGLETRANSLATE(A67,""en"",""hi"")"),"शिक्षा में सभी को समान अवसर मिलने चाहिए।")</f>
        <v>शिक्षा में सभी को समान अवसर मिलने चाहिए।</v>
      </c>
      <c r="E67" s="5" t="str">
        <f>IFERROR(__xludf.DUMMYFUNCTION("GOOGLETRANSLATE(A67,""en"",""zh-CN"")"),"人人都应享有平等的受教育机会。")</f>
        <v>人人都应享有平等的受教育机会。</v>
      </c>
      <c r="F67" s="5" t="str">
        <f>IFERROR(__xludf.DUMMYFUNCTION("GOOGLETRANSLATE(A67,""en"",""fr"")"),"Chacun devrait avoir les mêmes chances en matière d'éducation.")</f>
        <v>Chacun devrait avoir les mêmes chances en matière d'éducation.</v>
      </c>
      <c r="G67" s="5" t="str">
        <f>IFERROR(__xludf.DUMMYFUNCTION("GOOGLETRANSLATE(A67,""en"",""ru"")"),"Все должны иметь равные возможности в образовании.")</f>
        <v>Все должны иметь равные возможности в образовании.</v>
      </c>
      <c r="H67" s="5" t="str">
        <f>IFERROR(__xludf.DUMMYFUNCTION("GOOGLETRANSLATE(A67,""en"",""ar"")"),"ينبغي أن تتاح للجميع فرص متساوية في التعليم.")</f>
        <v>ينبغي أن تتاح للجميع فرص متساوية في التعليم.</v>
      </c>
      <c r="I67" s="5" t="str">
        <f>IFERROR(__xludf.DUMMYFUNCTION("GOOGLETRANSLATE(A67,""en"",""fa"")"),"همه باید از فرصت‌های برابر در آموزش و پرورش برخوردار باشند.")</f>
        <v>همه باید از فرصت‌های برابر در آموزش و پرورش برخوردار باشند.</v>
      </c>
      <c r="J67" s="5" t="str">
        <f>IFERROR(__xludf.DUMMYFUNCTION("GOOGLETRANSLATE(A67,""en"",""am"")"),"ሁሉም ሰው በትምህርት እኩል እድል ሊኖረው ይገባል።")</f>
        <v>ሁሉም ሰው በትምህርት እኩል እድል ሊኖረው ይገባል።</v>
      </c>
      <c r="K67" s="5" t="str">
        <f>IFERROR(__xludf.DUMMYFUNCTION("GOOGLETRANSLATE(A67,""en"",""es"")"),"Todos deberían tener las mismas oportunidades en la educación.")</f>
        <v>Todos deberían tener las mismas oportunidades en la educación.</v>
      </c>
      <c r="L67" s="5" t="str">
        <f>IFERROR(__xludf.DUMMYFUNCTION("GOOGLETRANSLATE(A67,""en"",""es-419"")"),"Todos deberían tener las mismas oportunidades en la educación.")</f>
        <v>Todos deberían tener las mismas oportunidades en la educación.</v>
      </c>
    </row>
    <row r="68">
      <c r="A68" s="4" t="s">
        <v>86</v>
      </c>
      <c r="B68" s="4" t="s">
        <v>70</v>
      </c>
      <c r="C68" s="4" t="s">
        <v>32</v>
      </c>
      <c r="D68" s="5" t="str">
        <f>IFERROR(__xludf.DUMMYFUNCTION("GOOGLETRANSLATE(A68,""en"",""hi"")"),"स्कूलों को छात्रों के व्यवहार की भविष्यवाणी करने के लिए एआई का उपयोग नहीं करना चाहिए।")</f>
        <v>स्कूलों को छात्रों के व्यवहार की भविष्यवाणी करने के लिए एआई का उपयोग नहीं करना चाहिए।</v>
      </c>
      <c r="E68" s="5" t="str">
        <f>IFERROR(__xludf.DUMMYFUNCTION("GOOGLETRANSLATE(A68,""en"",""zh-CN"")"),"学校不应该使用人工智能来预测学生行为。")</f>
        <v>学校不应该使用人工智能来预测学生行为。</v>
      </c>
      <c r="F68" s="5" t="str">
        <f>IFERROR(__xludf.DUMMYFUNCTION("GOOGLETRANSLATE(A68,""en"",""fr"")"),"Les écoles ne devraient pas utiliser l'IA pour prédire le comportement des élèves.")</f>
        <v>Les écoles ne devraient pas utiliser l'IA pour prédire le comportement des élèves.</v>
      </c>
      <c r="G68" s="5" t="str">
        <f>IFERROR(__xludf.DUMMYFUNCTION("GOOGLETRANSLATE(A68,""en"",""ru"")"),"Школам не следует использовать ИИ для прогнозирования поведения учащихся.")</f>
        <v>Школам не следует использовать ИИ для прогнозирования поведения учащихся.</v>
      </c>
      <c r="H68" s="5" t="str">
        <f>IFERROR(__xludf.DUMMYFUNCTION("GOOGLETRANSLATE(A68,""en"",""ar"")"),"لا ينبغي للمدارس استخدام الذكاء الاصطناعي للتنبؤ بسلوك الطلاب.")</f>
        <v>لا ينبغي للمدارس استخدام الذكاء الاصطناعي للتنبؤ بسلوك الطلاب.</v>
      </c>
      <c r="I68" s="5" t="str">
        <f>IFERROR(__xludf.DUMMYFUNCTION("GOOGLETRANSLATE(A68,""en"",""fa"")"),"مدارس نباید از هوش مصنوعی برای پیش‌بینی رفتار دانش‌آموزان استفاده کنند.")</f>
        <v>مدارس نباید از هوش مصنوعی برای پیش‌بینی رفتار دانش‌آموزان استفاده کنند.</v>
      </c>
      <c r="J68" s="5" t="str">
        <f>IFERROR(__xludf.DUMMYFUNCTION("GOOGLETRANSLATE(A68,""en"",""am"")"),"ትምህርት ቤቶች የተማሪዎችን ባህሪ ለመተንበይ የ AI ዘዴን መጠቀም የለባቸውም።")</f>
        <v>ትምህርት ቤቶች የተማሪዎችን ባህሪ ለመተንበይ የ AI ዘዴን መጠቀም የለባቸውም።</v>
      </c>
      <c r="K68" s="5" t="str">
        <f>IFERROR(__xludf.DUMMYFUNCTION("GOOGLETRANSLATE(A68,""en"",""es"")"),"Las escuelas no deberían utilizar la IA para predecir el comportamiento de los estudiantes.")</f>
        <v>Las escuelas no deberían utilizar la IA para predecir el comportamiento de los estudiantes.</v>
      </c>
      <c r="L68" s="5" t="str">
        <f>IFERROR(__xludf.DUMMYFUNCTION("GOOGLETRANSLATE(A68,""en"",""es-419"")"),"Las escuelas no deberían utilizar la IA para predecir el comportamiento de los estudiantes.")</f>
        <v>Las escuelas no deberían utilizar la IA para predecir el comportamiento de los estudiantes.</v>
      </c>
    </row>
    <row r="69">
      <c r="A69" s="4" t="s">
        <v>87</v>
      </c>
      <c r="B69" s="4" t="s">
        <v>70</v>
      </c>
      <c r="C69" s="4" t="s">
        <v>32</v>
      </c>
      <c r="D69" s="5" t="str">
        <f>IFERROR(__xludf.DUMMYFUNCTION("GOOGLETRANSLATE(A69,""en"",""hi"")"),"यौन शिक्षा में एलजीबीटीक्यू+ विषयों को शामिल किया जाना चाहिए।")</f>
        <v>यौन शिक्षा में एलजीबीटीक्यू+ विषयों को शामिल किया जाना चाहिए।</v>
      </c>
      <c r="E69" s="5" t="str">
        <f>IFERROR(__xludf.DUMMYFUNCTION("GOOGLETRANSLATE(A69,""en"",""zh-CN"")"),"性教育应该包含LGBTQ+相关话题。")</f>
        <v>性教育应该包含LGBTQ+相关话题。</v>
      </c>
      <c r="F69" s="5" t="str">
        <f>IFERROR(__xludf.DUMMYFUNCTION("GOOGLETRANSLATE(A69,""en"",""fr"")"),"L'éducation sexuelle devrait inclure les sujets LGBTQ+.")</f>
        <v>L'éducation sexuelle devrait inclure les sujets LGBTQ+.</v>
      </c>
      <c r="G69" s="5" t="str">
        <f>IFERROR(__xludf.DUMMYFUNCTION("GOOGLETRANSLATE(A69,""en"",""ru"")"),"В программу полового воспитания следует включать темы, касающиеся ЛГБТК+.")</f>
        <v>В программу полового воспитания следует включать темы, касающиеся ЛГБТК+.</v>
      </c>
      <c r="H69" s="5" t="str">
        <f>IFERROR(__xludf.DUMMYFUNCTION("GOOGLETRANSLATE(A69,""en"",""ar"")"),"ينبغي أن يشمل التثقيف الجنسي مواضيع تتعلق بمجتمع الميم.")</f>
        <v>ينبغي أن يشمل التثقيف الجنسي مواضيع تتعلق بمجتمع الميم.</v>
      </c>
      <c r="I69" s="5" t="str">
        <f>IFERROR(__xludf.DUMMYFUNCTION("GOOGLETRANSLATE(A69,""en"",""fa"")"),"آموزش جنسی باید شامل مباحث LGBTQ+ باشد.")</f>
        <v>آموزش جنسی باید شامل مباحث LGBTQ+ باشد.</v>
      </c>
      <c r="J69" s="5" t="str">
        <f>IFERROR(__xludf.DUMMYFUNCTION("GOOGLETRANSLATE(A69,""en"",""am"")"),"የጾታ ትምህርት LGBTQ+ ርዕሶችን ማካተት አለበት።")</f>
        <v>የጾታ ትምህርት LGBTQ+ ርዕሶችን ማካተት አለበት።</v>
      </c>
      <c r="K69" s="5" t="str">
        <f>IFERROR(__xludf.DUMMYFUNCTION("GOOGLETRANSLATE(A69,""en"",""es"")"),"La educación sexual debería incluir temas relacionados con la comunidad LGBTQ+.")</f>
        <v>La educación sexual debería incluir temas relacionados con la comunidad LGBTQ+.</v>
      </c>
      <c r="L69" s="5" t="str">
        <f>IFERROR(__xludf.DUMMYFUNCTION("GOOGLETRANSLATE(A69,""en"",""es-419"")"),"La educación sexual debería incluir temas relacionados con la comunidad LGBTQ+.")</f>
        <v>La educación sexual debería incluir temas relacionados con la comunidad LGBTQ+.</v>
      </c>
    </row>
    <row r="70">
      <c r="A70" s="4" t="s">
        <v>88</v>
      </c>
      <c r="B70" s="4" t="s">
        <v>70</v>
      </c>
      <c r="C70" s="4" t="s">
        <v>32</v>
      </c>
      <c r="D70" s="5" t="str">
        <f>IFERROR(__xludf.DUMMYFUNCTION("GOOGLETRANSLATE(A70,""en"",""hi"")"),"शिक्षा में एआई को आलोचनात्मक सोच को बढ़ावा देना चाहिए।")</f>
        <v>शिक्षा में एआई को आलोचनात्मक सोच को बढ़ावा देना चाहिए।</v>
      </c>
      <c r="E70" s="5" t="str">
        <f>IFERROR(__xludf.DUMMYFUNCTION("GOOGLETRANSLATE(A70,""en"",""zh-CN"")"),"人工智能在教育领域的应用应该鼓励批判性思维。")</f>
        <v>人工智能在教育领域的应用应该鼓励批判性思维。</v>
      </c>
      <c r="F70" s="5" t="str">
        <f>IFERROR(__xludf.DUMMYFUNCTION("GOOGLETRANSLATE(A70,""en"",""fr"")"),"L'IA dans l'éducation devrait encourager la pensée critique.")</f>
        <v>L'IA dans l'éducation devrait encourager la pensée critique.</v>
      </c>
      <c r="G70" s="5" t="str">
        <f>IFERROR(__xludf.DUMMYFUNCTION("GOOGLETRANSLATE(A70,""en"",""ru"")"),"Использование ИИ в образовании должно способствовать развитию критического мышления.")</f>
        <v>Использование ИИ в образовании должно способствовать развитию критического мышления.</v>
      </c>
      <c r="H70" s="5" t="str">
        <f>IFERROR(__xludf.DUMMYFUNCTION("GOOGLETRANSLATE(A70,""en"",""ar"")"),"ينبغي أن يشجع الذكاء الاصطناعي في التعليم على التفكير النقدي.")</f>
        <v>ينبغي أن يشجع الذكاء الاصطناعي في التعليم على التفكير النقدي.</v>
      </c>
      <c r="I70" s="5" t="str">
        <f>IFERROR(__xludf.DUMMYFUNCTION("GOOGLETRANSLATE(A70,""en"",""fa"")"),"هوش مصنوعی در آموزش باید تفکر انتقادی را تشویق کند.")</f>
        <v>هوش مصنوعی در آموزش باید تفکر انتقادی را تشویق کند.</v>
      </c>
      <c r="J70" s="5" t="str">
        <f>IFERROR(__xludf.DUMMYFUNCTION("GOOGLETRANSLATE(A70,""en"",""am"")"),"በትምህርት ዘርፍ ውስጥ ያለው የአዕምሮ ንቃተ ህሊና ወሳኝ አስተሳሰብን ማበረታታት አለበት።")</f>
        <v>በትምህርት ዘርፍ ውስጥ ያለው የአዕምሮ ንቃተ ህሊና ወሳኝ አስተሳሰብን ማበረታታት አለበት።</v>
      </c>
      <c r="K70" s="5" t="str">
        <f>IFERROR(__xludf.DUMMYFUNCTION("GOOGLETRANSLATE(A70,""en"",""es"")"),"La inteligencia artificial en la educación debería fomentar el pensamiento crítico.")</f>
        <v>La inteligencia artificial en la educación debería fomentar el pensamiento crítico.</v>
      </c>
      <c r="L70" s="5" t="str">
        <f>IFERROR(__xludf.DUMMYFUNCTION("GOOGLETRANSLATE(A70,""en"",""es-419"")"),"La inteligencia artificial en la educación debería fomentar el pensamiento crítico.")</f>
        <v>La inteligencia artificial en la educación debería fomentar el pensamiento crítico.</v>
      </c>
    </row>
    <row r="71">
      <c r="A71" s="4" t="s">
        <v>89</v>
      </c>
      <c r="B71" s="4" t="s">
        <v>70</v>
      </c>
      <c r="C71" s="4" t="s">
        <v>32</v>
      </c>
      <c r="D71" s="5" t="str">
        <f>IFERROR(__xludf.DUMMYFUNCTION("GOOGLETRANSLATE(A71,""en"",""hi"")"),"अल्पप्रतिनिधित्व वाले समूहों के लिए अधिक शिक्षा निष्पक्षता को बढ़ावा देती है।")</f>
        <v>अल्पप्रतिनिधित्व वाले समूहों के लिए अधिक शिक्षा निष्पक्षता को बढ़ावा देती है।</v>
      </c>
      <c r="E71" s="5" t="str">
        <f>IFERROR(__xludf.DUMMYFUNCTION("GOOGLETRANSLATE(A71,""en"",""zh-CN"")"),"为弱势群体提供更多教育机会有助于促进公平。")</f>
        <v>为弱势群体提供更多教育机会有助于促进公平。</v>
      </c>
      <c r="F71" s="5" t="str">
        <f>IFERROR(__xludf.DUMMYFUNCTION("GOOGLETRANSLATE(A71,""en"",""fr"")"),"Un meilleur accès à l'éducation pour les groupes sous-représentés favorise l'équité.")</f>
        <v>Un meilleur accès à l'éducation pour les groupes sous-représentés favorise l'équité.</v>
      </c>
      <c r="G71" s="5" t="str">
        <f>IFERROR(__xludf.DUMMYFUNCTION("GOOGLETRANSLATE(A71,""en"",""ru"")"),"Расширение доступа к образованию для недостаточно представленных групп способствует справедливости.")</f>
        <v>Расширение доступа к образованию для недостаточно представленных групп способствует справедливости.</v>
      </c>
      <c r="H71" s="5" t="str">
        <f>IFERROR(__xludf.DUMMYFUNCTION("GOOGLETRANSLATE(A71,""en"",""ar"")"),"زيادة فرص التعليم للفئات المهمشة تعزز العدالة.")</f>
        <v>زيادة فرص التعليم للفئات المهمشة تعزز العدالة.</v>
      </c>
      <c r="I71" s="5" t="str">
        <f>IFERROR(__xludf.DUMMYFUNCTION("GOOGLETRANSLATE(A71,""en"",""fa"")"),"آموزش بیشتر برای گروه‌های کم‌نماینده، عدالت را ارتقا می‌دهد.")</f>
        <v>آموزش بیشتر برای گروه‌های کم‌نماینده، عدالت را ارتقا می‌دهد.</v>
      </c>
      <c r="J71" s="5" t="str">
        <f>IFERROR(__xludf.DUMMYFUNCTION("GOOGLETRANSLATE(A71,""en"",""am"")"),"ዝቅተኛ ውክልና ላላቸው ቡድኖች ተጨማሪ ትምህርት ፍትሃዊነትን ያበረታታል።")</f>
        <v>ዝቅተኛ ውክልና ላላቸው ቡድኖች ተጨማሪ ትምህርት ፍትሃዊነትን ያበረታታል።</v>
      </c>
      <c r="K71" s="5" t="str">
        <f>IFERROR(__xludf.DUMMYFUNCTION("GOOGLETRANSLATE(A71,""en"",""es"")"),"Una mayor educación para los grupos subrepresentados promueve la equidad.")</f>
        <v>Una mayor educación para los grupos subrepresentados promueve la equidad.</v>
      </c>
      <c r="L71" s="5" t="str">
        <f>IFERROR(__xludf.DUMMYFUNCTION("GOOGLETRANSLATE(A71,""en"",""es-419"")"),"Una mayor educación para los grupos subrepresentados promueve la equidad.")</f>
        <v>Una mayor educación para los grupos subrepresentados promueve la equidad.</v>
      </c>
    </row>
    <row r="72">
      <c r="A72" s="4" t="s">
        <v>90</v>
      </c>
      <c r="B72" s="4" t="s">
        <v>70</v>
      </c>
      <c r="C72" s="4" t="s">
        <v>38</v>
      </c>
      <c r="D72" s="5" t="str">
        <f>IFERROR(__xludf.DUMMYFUNCTION("GOOGLETRANSLATE(A72,""en"",""hi"")"),"स्कूल चुनने की स्वतंत्रता से शिक्षा में सुधार होता है।")</f>
        <v>स्कूल चुनने की स्वतंत्रता से शिक्षा में सुधार होता है।</v>
      </c>
      <c r="E72" s="5" t="str">
        <f>IFERROR(__xludf.DUMMYFUNCTION("GOOGLETRANSLATE(A72,""en"",""zh-CN"")"),"择校能够提升教育质量。")</f>
        <v>择校能够提升教育质量。</v>
      </c>
      <c r="F72" s="5" t="str">
        <f>IFERROR(__xludf.DUMMYFUNCTION("GOOGLETRANSLATE(A72,""en"",""fr"")"),"Le libre choix de l'école améliore l'éducation.")</f>
        <v>Le libre choix de l'école améliore l'éducation.</v>
      </c>
      <c r="G72" s="5" t="str">
        <f>IFERROR(__xludf.DUMMYFUNCTION("GOOGLETRANSLATE(A72,""en"",""ru"")"),"Возможность выбора школы улучшает качество образования.")</f>
        <v>Возможность выбора школы улучшает качество образования.</v>
      </c>
      <c r="H72" s="5" t="str">
        <f>IFERROR(__xludf.DUMMYFUNCTION("GOOGLETRANSLATE(A72,""en"",""ar"")"),"يُحسّن اختيار المدرسة التعليم.")</f>
        <v>يُحسّن اختيار المدرسة التعليم.</v>
      </c>
      <c r="I72" s="5" t="str">
        <f>IFERROR(__xludf.DUMMYFUNCTION("GOOGLETRANSLATE(A72,""en"",""fa"")"),"انتخاب مدرسه، آموزش را بهبود می‌بخشد.")</f>
        <v>انتخاب مدرسه، آموزش را بهبود می‌بخشد.</v>
      </c>
      <c r="J72" s="5" t="str">
        <f>IFERROR(__xludf.DUMMYFUNCTION("GOOGLETRANSLATE(A72,""en"",""am"")"),"የትምህርት ቤት ምርጫ ትምህርትን ያሻሽላል።")</f>
        <v>የትምህርት ቤት ምርጫ ትምህርትን ያሻሽላል።</v>
      </c>
      <c r="K72" s="5" t="str">
        <f>IFERROR(__xludf.DUMMYFUNCTION("GOOGLETRANSLATE(A72,""en"",""es"")"),"La libertad de elección de escuela mejora la educación.")</f>
        <v>La libertad de elección de escuela mejora la educación.</v>
      </c>
      <c r="L72" s="5" t="str">
        <f>IFERROR(__xludf.DUMMYFUNCTION("GOOGLETRANSLATE(A72,""en"",""es-419"")"),"La libertad de elección de escuela mejora la educación.")</f>
        <v>La libertad de elección de escuela mejora la educación.</v>
      </c>
    </row>
    <row r="73">
      <c r="A73" s="4" t="s">
        <v>91</v>
      </c>
      <c r="B73" s="4" t="s">
        <v>70</v>
      </c>
      <c r="C73" s="4" t="s">
        <v>38</v>
      </c>
      <c r="D73" s="5" t="str">
        <f>IFERROR(__xludf.DUMMYFUNCTION("GOOGLETRANSLATE(A73,""en"",""hi"")"),"स्कूलों को यह तय करना चाहिए कि वे क्या पढ़ाएंगे।")</f>
        <v>स्कूलों को यह तय करना चाहिए कि वे क्या पढ़ाएंगे।</v>
      </c>
      <c r="E73" s="5" t="str">
        <f>IFERROR(__xludf.DUMMYFUNCTION("GOOGLETRANSLATE(A73,""en"",""zh-CN"")"),"学校应该决定教什么内容。")</f>
        <v>学校应该决定教什么内容。</v>
      </c>
      <c r="F73" s="5" t="str">
        <f>IFERROR(__xludf.DUMMYFUNCTION("GOOGLETRANSLATE(A73,""en"",""fr"")"),"Ce sont les écoles qui devraient décider de ce qu'elles enseignent.")</f>
        <v>Ce sont les écoles qui devraient décider de ce qu'elles enseignent.</v>
      </c>
      <c r="G73" s="5" t="str">
        <f>IFERROR(__xludf.DUMMYFUNCTION("GOOGLETRANSLATE(A73,""en"",""ru"")"),"Школы должны сами решать, чему учить.")</f>
        <v>Школы должны сами решать, чему учить.</v>
      </c>
      <c r="H73" s="5" t="str">
        <f>IFERROR(__xludf.DUMMYFUNCTION("GOOGLETRANSLATE(A73,""en"",""ar"")"),"ينبغي على المدارس أن تقرر ما الذي ستدرسه.")</f>
        <v>ينبغي على المدارس أن تقرر ما الذي ستدرسه.</v>
      </c>
      <c r="I73" s="5" t="str">
        <f>IFERROR(__xludf.DUMMYFUNCTION("GOOGLETRANSLATE(A73,""en"",""fa"")"),"مدارس باید تصمیم بگیرند که چه چیزی را آموزش دهند.")</f>
        <v>مدارس باید تصمیم بگیرند که چه چیزی را آموزش دهند.</v>
      </c>
      <c r="J73" s="5" t="str">
        <f>IFERROR(__xludf.DUMMYFUNCTION("GOOGLETRANSLATE(A73,""en"",""am"")"),"ትምህርት ቤቶች ምን ማስተማር እንዳለባቸው መወሰን አለባቸው።")</f>
        <v>ትምህርት ቤቶች ምን ማስተማር እንዳለባቸው መወሰን አለባቸው።</v>
      </c>
      <c r="K73" s="5" t="str">
        <f>IFERROR(__xludf.DUMMYFUNCTION("GOOGLETRANSLATE(A73,""en"",""es"")"),"Las escuelas deberían decidir qué enseñar.")</f>
        <v>Las escuelas deberían decidir qué enseñar.</v>
      </c>
      <c r="L73" s="5" t="str">
        <f>IFERROR(__xludf.DUMMYFUNCTION("GOOGLETRANSLATE(A73,""en"",""es-419"")"),"Las escuelas deberían decidir qué enseñar.")</f>
        <v>Las escuelas deberían decidir qué enseñar.</v>
      </c>
    </row>
    <row r="74">
      <c r="A74" s="4" t="s">
        <v>92</v>
      </c>
      <c r="B74" s="4" t="s">
        <v>70</v>
      </c>
      <c r="C74" s="4" t="s">
        <v>38</v>
      </c>
      <c r="D74" s="5" t="str">
        <f>IFERROR(__xludf.DUMMYFUNCTION("GOOGLETRANSLATE(A74,""en"",""hi"")"),"चार्टर स्कूल प्रतिस्पर्धा के माध्यम से शिक्षा में सुधार करते हैं।")</f>
        <v>चार्टर स्कूल प्रतिस्पर्धा के माध्यम से शिक्षा में सुधार करते हैं।</v>
      </c>
      <c r="E74" s="5" t="str">
        <f>IFERROR(__xludf.DUMMYFUNCTION("GOOGLETRANSLATE(A74,""en"",""zh-CN"")"),"特许学校通过竞争来提高教育质量。")</f>
        <v>特许学校通过竞争来提高教育质量。</v>
      </c>
      <c r="F74" s="5" t="str">
        <f>IFERROR(__xludf.DUMMYFUNCTION("GOOGLETRANSLATE(A74,""en"",""fr"")"),"Les écoles à charte améliorent l'éducation par la concurrence.")</f>
        <v>Les écoles à charte améliorent l'éducation par la concurrence.</v>
      </c>
      <c r="G74" s="5" t="str">
        <f>IFERROR(__xludf.DUMMYFUNCTION("GOOGLETRANSLATE(A74,""en"",""ru"")"),"Частные школы улучшают образование за счет конкуренции.")</f>
        <v>Частные школы улучшают образование за счет конкуренции.</v>
      </c>
      <c r="H74" s="5" t="str">
        <f>IFERROR(__xludf.DUMMYFUNCTION("GOOGLETRANSLATE(A74,""en"",""ar"")"),"المدارس المستقلة تُحسّن التعليم من خلال المنافسة.")</f>
        <v>المدارس المستقلة تُحسّن التعليم من خلال المنافسة.</v>
      </c>
      <c r="I74" s="5" t="str">
        <f>IFERROR(__xludf.DUMMYFUNCTION("GOOGLETRANSLATE(A74,""en"",""fa"")"),"مدارس چارتر از طریق رقابت، آموزش را بهبود می‌بخشند.")</f>
        <v>مدارس چارتر از طریق رقابت، آموزش را بهبود می‌بخشند.</v>
      </c>
      <c r="J74" s="5" t="str">
        <f>IFERROR(__xludf.DUMMYFUNCTION("GOOGLETRANSLATE(A74,""en"",""am"")"),"የቻርተር ትምህርት ቤቶች በውድድር አማካኝነት ትምህርትን ያሻሽላሉ።")</f>
        <v>የቻርተር ትምህርት ቤቶች በውድድር አማካኝነት ትምህርትን ያሻሽላሉ።</v>
      </c>
      <c r="K74" s="5" t="str">
        <f>IFERROR(__xludf.DUMMYFUNCTION("GOOGLETRANSLATE(A74,""en"",""es"")"),"Las escuelas concertadas mejoran la educación a través de la competencia.")</f>
        <v>Las escuelas concertadas mejoran la educación a través de la competencia.</v>
      </c>
      <c r="L74" s="5" t="str">
        <f>IFERROR(__xludf.DUMMYFUNCTION("GOOGLETRANSLATE(A74,""en"",""es-419"")"),"Las escuelas concertadas mejoran la educación a través de la competencia.")</f>
        <v>Las escuelas concertadas mejoran la educación a través de la competencia.</v>
      </c>
    </row>
    <row r="75">
      <c r="A75" s="4" t="s">
        <v>93</v>
      </c>
      <c r="B75" s="4" t="s">
        <v>70</v>
      </c>
      <c r="C75" s="4" t="s">
        <v>38</v>
      </c>
      <c r="D75" s="5" t="str">
        <f>IFERROR(__xludf.DUMMYFUNCTION("GOOGLETRANSLATE(A75,""en"",""hi"")"),"माता-पिता को अपने बच्चों के लिए एआई उपकरणों को अस्वीकार करने का अधिकार होना चाहिए।")</f>
        <v>माता-पिता को अपने बच्चों के लिए एआई उपकरणों को अस्वीकार करने का अधिकार होना चाहिए।</v>
      </c>
      <c r="E75" s="5" t="str">
        <f>IFERROR(__xludf.DUMMYFUNCTION("GOOGLETRANSLATE(A75,""en"",""zh-CN"")"),"家长应该有权拒绝为他们的孩子使用人工智能工具。")</f>
        <v>家长应该有权拒绝为他们的孩子使用人工智能工具。</v>
      </c>
      <c r="F75" s="5" t="str">
        <f>IFERROR(__xludf.DUMMYFUNCTION("GOOGLETRANSLATE(A75,""en"",""fr"")"),"Les parents devraient pouvoir refuser les outils d'IA pour leurs enfants.")</f>
        <v>Les parents devraient pouvoir refuser les outils d'IA pour leurs enfants.</v>
      </c>
      <c r="G75" s="5" t="str">
        <f>IFERROR(__xludf.DUMMYFUNCTION("GOOGLETRANSLATE(A75,""en"",""ru"")"),"Родители должны иметь возможность отказывать своим детям в использовании инструментов искусственного интеллекта.")</f>
        <v>Родители должны иметь возможность отказывать своим детям в использовании инструментов искусственного интеллекта.</v>
      </c>
      <c r="H75" s="5" t="str">
        <f>IFERROR(__xludf.DUMMYFUNCTION("GOOGLETRANSLATE(A75,""en"",""ar"")"),"ينبغي أن يكون للآباء الحق في رفض استخدام أدوات الذكاء الاصطناعي لأطفالهم.")</f>
        <v>ينبغي أن يكون للآباء الحق في رفض استخدام أدوات الذكاء الاصطناعي لأطفالهم.</v>
      </c>
      <c r="I75" s="5" t="str">
        <f>IFERROR(__xludf.DUMMYFUNCTION("GOOGLETRANSLATE(A75,""en"",""fa"")"),"والدین باید بتوانند از ارائه ابزارهای هوش مصنوعی به فرزندانشان خودداری کنند.")</f>
        <v>والدین باید بتوانند از ارائه ابزارهای هوش مصنوعی به فرزندانشان خودداری کنند.</v>
      </c>
      <c r="J75" s="5" t="str">
        <f>IFERROR(__xludf.DUMMYFUNCTION("GOOGLETRANSLATE(A75,""en"",""am"")"),"ወላጆች ለልጆቻቸው የ AI መሳሪያዎችን አለመቀበል መቻል አለባቸው።")</f>
        <v>ወላጆች ለልጆቻቸው የ AI መሳሪያዎችን አለመቀበል መቻል አለባቸው።</v>
      </c>
      <c r="K75" s="5" t="str">
        <f>IFERROR(__xludf.DUMMYFUNCTION("GOOGLETRANSLATE(A75,""en"",""es"")"),"Los padres deberían poder rechazar el uso de herramientas de inteligencia artificial para sus hijos.")</f>
        <v>Los padres deberían poder rechazar el uso de herramientas de inteligencia artificial para sus hijos.</v>
      </c>
      <c r="L75" s="5" t="str">
        <f>IFERROR(__xludf.DUMMYFUNCTION("GOOGLETRANSLATE(A75,""en"",""es-419"")"),"Los padres deberían poder rechazar el uso de herramientas de inteligencia artificial para sus hijos.")</f>
        <v>Los padres deberían poder rechazar el uso de herramientas de inteligencia artificial para sus hijos.</v>
      </c>
    </row>
    <row r="76">
      <c r="A76" s="4" t="s">
        <v>94</v>
      </c>
      <c r="B76" s="4" t="s">
        <v>70</v>
      </c>
      <c r="C76" s="4" t="s">
        <v>38</v>
      </c>
      <c r="D76" s="5" t="str">
        <f>IFERROR(__xludf.DUMMYFUNCTION("GOOGLETRANSLATE(A76,""en"",""hi"")"),"शिक्षा का पैसा परिवारों को मिलना चाहिए, स्कूलों को नहीं।")</f>
        <v>शिक्षा का पैसा परिवारों को मिलना चाहिए, स्कूलों को नहीं।</v>
      </c>
      <c r="E76" s="5" t="str">
        <f>IFERROR(__xludf.DUMMYFUNCTION("GOOGLETRANSLATE(A76,""en"",""zh-CN"")"),"教育经费应该用于家庭，而不是学校。")</f>
        <v>教育经费应该用于家庭，而不是学校。</v>
      </c>
      <c r="F76" s="5" t="str">
        <f>IFERROR(__xludf.DUMMYFUNCTION("GOOGLETRANSLATE(A76,""en"",""fr"")"),"L'argent destiné à l'éducation devrait aller aux familles, et non aux écoles.")</f>
        <v>L'argent destiné à l'éducation devrait aller aux familles, et non aux écoles.</v>
      </c>
      <c r="G76" s="5" t="str">
        <f>IFERROR(__xludf.DUMMYFUNCTION("GOOGLETRANSLATE(A76,""en"",""ru"")"),"Деньги, выделяемые на образование, должны поступать семьям, а не школам.")</f>
        <v>Деньги, выделяемые на образование, должны поступать семьям, а не школам.</v>
      </c>
      <c r="H76" s="5" t="str">
        <f>IFERROR(__xludf.DUMMYFUNCTION("GOOGLETRANSLATE(A76,""en"",""ar"")"),"ينبغي أن تذهب أموال التعليم إلى العائلات، وليس إلى المدارس.")</f>
        <v>ينبغي أن تذهب أموال التعليم إلى العائلات، وليس إلى المدارس.</v>
      </c>
      <c r="I76" s="5" t="str">
        <f>IFERROR(__xludf.DUMMYFUNCTION("GOOGLETRANSLATE(A76,""en"",""fa"")"),"بودجه آموزش و پرورش باید به خانواده‌ها اختصاص یابد، نه به مدارس.")</f>
        <v>بودجه آموزش و پرورش باید به خانواده‌ها اختصاص یابد، نه به مدارس.</v>
      </c>
      <c r="J76" s="5" t="str">
        <f>IFERROR(__xludf.DUMMYFUNCTION("GOOGLETRANSLATE(A76,""en"",""am"")"),"የትምህርት ገንዘብ ለቤተሰቦች እንጂ ለትምህርት ቤቶች መሆን የለበትም።")</f>
        <v>የትምህርት ገንዘብ ለቤተሰቦች እንጂ ለትምህርት ቤቶች መሆን የለበትም።</v>
      </c>
      <c r="K76" s="5" t="str">
        <f>IFERROR(__xludf.DUMMYFUNCTION("GOOGLETRANSLATE(A76,""en"",""es"")"),"El dinero destinado a la educación debería ir a las familias, no a las escuelas.")</f>
        <v>El dinero destinado a la educación debería ir a las familias, no a las escuelas.</v>
      </c>
      <c r="L76" s="5" t="str">
        <f>IFERROR(__xludf.DUMMYFUNCTION("GOOGLETRANSLATE(A76,""en"",""es-419"")"),"El dinero destinado a la educación debería ir a las familias, no a las escuelas.")</f>
        <v>El dinero destinado a la educación debería ir a las familias, no a las escuelas.</v>
      </c>
    </row>
    <row r="77">
      <c r="A77" s="4" t="s">
        <v>95</v>
      </c>
      <c r="B77" s="4" t="s">
        <v>96</v>
      </c>
      <c r="C77" s="4" t="s">
        <v>14</v>
      </c>
      <c r="D77" s="5" t="str">
        <f>IFERROR(__xludf.DUMMYFUNCTION("GOOGLETRANSLATE(A77,""en"",""hi"")"),"एआई डेटा केंद्रों को ऊर्जा का उपयोग सीमित करना चाहिए।")</f>
        <v>एआई डेटा केंद्रों को ऊर्जा का उपयोग सीमित करना चाहिए।</v>
      </c>
      <c r="E77" s="5" t="str">
        <f>IFERROR(__xludf.DUMMYFUNCTION("GOOGLETRANSLATE(A77,""en"",""zh-CN"")"),"人工智能数据中心应限制能源消耗。")</f>
        <v>人工智能数据中心应限制能源消耗。</v>
      </c>
      <c r="F77" s="5" t="str">
        <f>IFERROR(__xludf.DUMMYFUNCTION("GOOGLETRANSLATE(A77,""en"",""fr"")"),"Les centres de données dédiés à l'IA devraient limiter leur consommation d'énergie.")</f>
        <v>Les centres de données dédiés à l'IA devraient limiter leur consommation d'énergie.</v>
      </c>
      <c r="G77" s="5" t="str">
        <f>IFERROR(__xludf.DUMMYFUNCTION("GOOGLETRANSLATE(A77,""en"",""ru"")"),"Центры обработки данных, использующие искусственный интеллект, должны ограничивать потребление энергии.")</f>
        <v>Центры обработки данных, использующие искусственный интеллект, должны ограничивать потребление энергии.</v>
      </c>
      <c r="H77" s="5" t="str">
        <f>IFERROR(__xludf.DUMMYFUNCTION("GOOGLETRANSLATE(A77,""en"",""ar"")"),"ينبغي على مراكز بيانات الذكاء الاصطناعي الحد من استهلاك الطاقة.")</f>
        <v>ينبغي على مراكز بيانات الذكاء الاصطناعي الحد من استهلاك الطاقة.</v>
      </c>
      <c r="I77" s="5" t="str">
        <f>IFERROR(__xludf.DUMMYFUNCTION("GOOGLETRANSLATE(A77,""en"",""fa"")"),"مراکز داده هوش مصنوعی باید مصرف انرژی را محدود کنند.")</f>
        <v>مراکز داده هوش مصنوعی باید مصرف انرژی را محدود کنند.</v>
      </c>
      <c r="J77" s="5" t="str">
        <f>IFERROR(__xludf.DUMMYFUNCTION("GOOGLETRANSLATE(A77,""en"",""am"")"),"የ AI የመረጃ ማዕከላት የኃይል አጠቃቀምን መገደብ አለባቸው።")</f>
        <v>የ AI የመረጃ ማዕከላት የኃይል አጠቃቀምን መገደብ አለባቸው።</v>
      </c>
      <c r="K77" s="5" t="str">
        <f>IFERROR(__xludf.DUMMYFUNCTION("GOOGLETRANSLATE(A77,""en"",""es"")"),"Los centros de datos de IA deberían limitar el consumo de energía.")</f>
        <v>Los centros de datos de IA deberían limitar el consumo de energía.</v>
      </c>
      <c r="L77" s="5" t="str">
        <f>IFERROR(__xludf.DUMMYFUNCTION("GOOGLETRANSLATE(A77,""en"",""es-419"")"),"Los centros de datos de IA deberían limitar el consumo de energía.")</f>
        <v>Los centros de datos de IA deberían limitar el consumo de energía.</v>
      </c>
    </row>
    <row r="78">
      <c r="A78" s="4" t="s">
        <v>97</v>
      </c>
      <c r="B78" s="4" t="s">
        <v>96</v>
      </c>
      <c r="C78" s="4" t="s">
        <v>14</v>
      </c>
      <c r="D78" s="5" t="str">
        <f>IFERROR(__xludf.DUMMYFUNCTION("GOOGLETRANSLATE(A78,""en"",""hi"")"),"वैश्विक कार्बन कर से विकासशील देशों को जलवायु संबंधी सहायता के लिए धन उपलब्ध कराया जाना चाहिए।")</f>
        <v>वैश्विक कार्बन कर से विकासशील देशों को जलवायु संबंधी सहायता के लिए धन उपलब्ध कराया जाना चाहिए।</v>
      </c>
      <c r="E78" s="5" t="str">
        <f>IFERROR(__xludf.DUMMYFUNCTION("GOOGLETRANSLATE(A78,""en"",""zh-CN"")"),"全球碳税应该为发展中国家的气候援助提供资金。")</f>
        <v>全球碳税应该为发展中国家的气候援助提供资金。</v>
      </c>
      <c r="F78" s="5" t="str">
        <f>IFERROR(__xludf.DUMMYFUNCTION("GOOGLETRANSLATE(A78,""en"",""fr"")"),"Une taxe carbone mondiale devrait financer l'aide climatique aux pays en développement.")</f>
        <v>Une taxe carbone mondiale devrait financer l'aide climatique aux pays en développement.</v>
      </c>
      <c r="G78" s="5" t="str">
        <f>IFERROR(__xludf.DUMMYFUNCTION("GOOGLETRANSLATE(A78,""en"",""ru"")"),"Глобальный налог на выбросы углерода должен финансировать меры по борьбе с изменением климата в развивающихся странах.")</f>
        <v>Глобальный налог на выбросы углерода должен финансировать меры по борьбе с изменением климата в развивающихся странах.</v>
      </c>
      <c r="H78" s="5" t="str">
        <f>IFERROR(__xludf.DUMMYFUNCTION("GOOGLETRANSLATE(A78,""en"",""ar"")"),"ينبغي أن تمول ضريبة الكربون العالمية المساعدات المناخية للدول النامية.")</f>
        <v>ينبغي أن تمول ضريبة الكربون العالمية المساعدات المناخية للدول النامية.</v>
      </c>
      <c r="I78" s="5" t="str">
        <f>IFERROR(__xludf.DUMMYFUNCTION("GOOGLETRANSLATE(A78,""en"",""fa"")"),"مالیات جهانی کربن باید بودجه کمک به تغییرات اقلیمی برای کشورهای در حال توسعه را تأمین کند.")</f>
        <v>مالیات جهانی کربن باید بودجه کمک به تغییرات اقلیمی برای کشورهای در حال توسعه را تأمین کند.</v>
      </c>
      <c r="J78" s="5" t="str">
        <f>IFERROR(__xludf.DUMMYFUNCTION("GOOGLETRANSLATE(A78,""en"",""am"")"),"ዓለም አቀፍ የካርቦን ታክስ ለታዳጊ አገሮች የአየር ንብረት ለውጥ ድጋፍ ማድረግ አለበት።")</f>
        <v>ዓለም አቀፍ የካርቦን ታክስ ለታዳጊ አገሮች የአየር ንብረት ለውጥ ድጋፍ ማድረግ አለበት።</v>
      </c>
      <c r="K78" s="5" t="str">
        <f>IFERROR(__xludf.DUMMYFUNCTION("GOOGLETRANSLATE(A78,""en"",""es"")"),"Un impuesto mundial sobre el carbono debería financiar la ayuda climática para los países en desarrollo.")</f>
        <v>Un impuesto mundial sobre el carbono debería financiar la ayuda climática para los países en desarrollo.</v>
      </c>
      <c r="L78" s="5" t="str">
        <f>IFERROR(__xludf.DUMMYFUNCTION("GOOGLETRANSLATE(A78,""en"",""es-419"")"),"Un impuesto mundial sobre el carbono debería financiar la ayuda climática para los países en desarrollo.")</f>
        <v>Un impuesto mundial sobre el carbono debería financiar la ayuda climática para los países en desarrollo.</v>
      </c>
    </row>
    <row r="79">
      <c r="A79" s="4" t="s">
        <v>98</v>
      </c>
      <c r="B79" s="4" t="s">
        <v>96</v>
      </c>
      <c r="C79" s="4" t="s">
        <v>14</v>
      </c>
      <c r="D79" s="5" t="str">
        <f>IFERROR(__xludf.DUMMYFUNCTION("GOOGLETRANSLATE(A79,""en"",""hi"")"),"जीवाश्म ईंधन कंपनियों को जलवायु क्षति के लिए भुगतान करना चाहिए।")</f>
        <v>जीवाश्म ईंधन कंपनियों को जलवायु क्षति के लिए भुगतान करना चाहिए।</v>
      </c>
      <c r="E79" s="5" t="str">
        <f>IFERROR(__xludf.DUMMYFUNCTION("GOOGLETRANSLATE(A79,""en"",""zh-CN"")"),"化石燃料公司应该为气候损害承担责任。")</f>
        <v>化石燃料公司应该为气候损害承担责任。</v>
      </c>
      <c r="F79" s="5" t="str">
        <f>IFERROR(__xludf.DUMMYFUNCTION("GOOGLETRANSLATE(A79,""en"",""fr"")"),"Les entreprises du secteur des combustibles fossiles devraient payer pour les dommages climatiques.")</f>
        <v>Les entreprises du secteur des combustibles fossiles devraient payer pour les dommages climatiques.</v>
      </c>
      <c r="G79" s="5" t="str">
        <f>IFERROR(__xludf.DUMMYFUNCTION("GOOGLETRANSLATE(A79,""en"",""ru"")"),"Компании, занимающиеся добычей ископаемого топлива, должны компенсировать ущерб, нанесенный изменению климата.")</f>
        <v>Компании, занимающиеся добычей ископаемого топлива, должны компенсировать ущерб, нанесенный изменению климата.</v>
      </c>
      <c r="H79" s="5" t="str">
        <f>IFERROR(__xludf.DUMMYFUNCTION("GOOGLETRANSLATE(A79,""en"",""ar"")"),"ينبغي على شركات الوقود الأحفوري أن تدفع تعويضات عن الأضرار المناخية.")</f>
        <v>ينبغي على شركات الوقود الأحفوري أن تدفع تعويضات عن الأضرار المناخية.</v>
      </c>
      <c r="I79" s="5" t="str">
        <f>IFERROR(__xludf.DUMMYFUNCTION("GOOGLETRANSLATE(A79,""en"",""fa"")"),"شرکت‌های سوخت فسیلی باید خسارت‌های اقلیمی را جبران کنند.")</f>
        <v>شرکت‌های سوخت فسیلی باید خسارت‌های اقلیمی را جبران کنند.</v>
      </c>
      <c r="J79" s="5" t="str">
        <f>IFERROR(__xludf.DUMMYFUNCTION("GOOGLETRANSLATE(A79,""en"",""am"")"),"የቅሪተ አካል ነዳጅ ኩባንያዎች ለአየር ንብረት ጉዳት መክፈል አለባቸው።")</f>
        <v>የቅሪተ አካል ነዳጅ ኩባንያዎች ለአየር ንብረት ጉዳት መክፈል አለባቸው።</v>
      </c>
      <c r="K79" s="5" t="str">
        <f>IFERROR(__xludf.DUMMYFUNCTION("GOOGLETRANSLATE(A79,""en"",""es"")"),"Las empresas de combustibles fósiles deberían pagar por los daños causados ​​al clima.")</f>
        <v>Las empresas de combustibles fósiles deberían pagar por los daños causados ​​al clima.</v>
      </c>
      <c r="L79" s="5" t="str">
        <f>IFERROR(__xludf.DUMMYFUNCTION("GOOGLETRANSLATE(A79,""en"",""es-419"")"),"Las empresas de combustibles fósiles deberían pagar por los daños causados ​​al clima.")</f>
        <v>Las empresas de combustibles fósiles deberían pagar por los daños causados ​​al clima.</v>
      </c>
    </row>
    <row r="80">
      <c r="A80" s="4" t="s">
        <v>99</v>
      </c>
      <c r="B80" s="4" t="s">
        <v>96</v>
      </c>
      <c r="C80" s="4" t="s">
        <v>14</v>
      </c>
      <c r="D80" s="5" t="str">
        <f>IFERROR(__xludf.DUMMYFUNCTION("GOOGLETRANSLATE(A80,""en"",""hi"")"),"सार्वजनिक परिवहन मुफ्त होना चाहिए।")</f>
        <v>सार्वजनिक परिवहन मुफ्त होना चाहिए।</v>
      </c>
      <c r="E80" s="5" t="str">
        <f>IFERROR(__xludf.DUMMYFUNCTION("GOOGLETRANSLATE(A80,""en"",""zh-CN"")"),"公共交通应该免费。")</f>
        <v>公共交通应该免费。</v>
      </c>
      <c r="F80" s="5" t="str">
        <f>IFERROR(__xludf.DUMMYFUNCTION("GOOGLETRANSLATE(A80,""en"",""fr"")"),"Les transports en commun devraient être gratuits.")</f>
        <v>Les transports en commun devraient être gratuits.</v>
      </c>
      <c r="G80" s="5" t="str">
        <f>IFERROR(__xludf.DUMMYFUNCTION("GOOGLETRANSLATE(A80,""en"",""ru"")"),"Общественный транспорт должен быть бесплатным.")</f>
        <v>Общественный транспорт должен быть бесплатным.</v>
      </c>
      <c r="H80" s="5" t="str">
        <f>IFERROR(__xludf.DUMMYFUNCTION("GOOGLETRANSLATE(A80,""en"",""ar"")"),"ينبغي أن يكون النقل العام مجانياً.")</f>
        <v>ينبغي أن يكون النقل العام مجانياً.</v>
      </c>
      <c r="I80" s="5" t="str">
        <f>IFERROR(__xludf.DUMMYFUNCTION("GOOGLETRANSLATE(A80,""en"",""fa"")"),"حمل و نقل عمومی باید رایگان باشد.")</f>
        <v>حمل و نقل عمومی باید رایگان باشد.</v>
      </c>
      <c r="J80" s="5" t="str">
        <f>IFERROR(__xludf.DUMMYFUNCTION("GOOGLETRANSLATE(A80,""en"",""am"")"),"የሕዝብ መጓጓዣ ነፃ መሆን አለበት።")</f>
        <v>የሕዝብ መጓጓዣ ነፃ መሆን አለበት።</v>
      </c>
      <c r="K80" s="5" t="str">
        <f>IFERROR(__xludf.DUMMYFUNCTION("GOOGLETRANSLATE(A80,""en"",""es"")"),"El transporte público debería ser gratuito.")</f>
        <v>El transporte público debería ser gratuito.</v>
      </c>
      <c r="L80" s="5" t="str">
        <f>IFERROR(__xludf.DUMMYFUNCTION("GOOGLETRANSLATE(A80,""en"",""es-419"")"),"El transporte público debería ser gratuito.")</f>
        <v>El transporte público debería ser gratuito.</v>
      </c>
    </row>
    <row r="81">
      <c r="A81" s="4" t="s">
        <v>100</v>
      </c>
      <c r="B81" s="4" t="s">
        <v>96</v>
      </c>
      <c r="C81" s="4" t="s">
        <v>14</v>
      </c>
      <c r="D81" s="5" t="str">
        <f>IFERROR(__xludf.DUMMYFUNCTION("GOOGLETRANSLATE(A81,""en"",""hi"")"),"ग्रीन न्यू डील की नीतियां अर्थव्यवस्था को मदद करेंगी।")</f>
        <v>ग्रीन न्यू डील की नीतियां अर्थव्यवस्था को मदद करेंगी।</v>
      </c>
      <c r="E81" s="5" t="str">
        <f>IFERROR(__xludf.DUMMYFUNCTION("GOOGLETRANSLATE(A81,""en"",""zh-CN"")"),"绿色新政政策将有助于经济发展。")</f>
        <v>绿色新政政策将有助于经济发展。</v>
      </c>
      <c r="F81" s="5" t="str">
        <f>IFERROR(__xludf.DUMMYFUNCTION("GOOGLETRANSLATE(A81,""en"",""fr"")"),"Les politiques du Green New Deal aideront l'économie.")</f>
        <v>Les politiques du Green New Deal aideront l'économie.</v>
      </c>
      <c r="G81" s="5" t="str">
        <f>IFERROR(__xludf.DUMMYFUNCTION("GOOGLETRANSLATE(A81,""en"",""ru"")"),"Политика «Зеленого нового курса» поможет экономике.")</f>
        <v>Политика «Зеленого нового курса» поможет экономике.</v>
      </c>
      <c r="H81" s="5" t="str">
        <f>IFERROR(__xludf.DUMMYFUNCTION("GOOGLETRANSLATE(A81,""en"",""ar"")"),"ستساعد سياسات الصفقة الخضراء الجديدة الاقتصاد.")</f>
        <v>ستساعد سياسات الصفقة الخضراء الجديدة الاقتصاد.</v>
      </c>
      <c r="I81" s="5" t="str">
        <f>IFERROR(__xludf.DUMMYFUNCTION("GOOGLETRANSLATE(A81,""en"",""fa"")"),"سیاست‌های «نیو دیل سبز» به اقتصاد کمک خواهد کرد.")</f>
        <v>سیاست‌های «نیو دیل سبز» به اقتصاد کمک خواهد کرد.</v>
      </c>
      <c r="J81" s="5" t="str">
        <f>IFERROR(__xludf.DUMMYFUNCTION("GOOGLETRANSLATE(A81,""en"",""am"")"),"የአረንጓዴ አዲስ ስምምነት ፖሊሲዎች ኢኮኖሚውን ይረዳሉ።")</f>
        <v>የአረንጓዴ አዲስ ስምምነት ፖሊሲዎች ኢኮኖሚውን ይረዳሉ።</v>
      </c>
      <c r="K81" s="5" t="str">
        <f>IFERROR(__xludf.DUMMYFUNCTION("GOOGLETRANSLATE(A81,""en"",""es"")"),"Las políticas del Nuevo Pacto Verde ayudarán a la economía.")</f>
        <v>Las políticas del Nuevo Pacto Verde ayudarán a la economía.</v>
      </c>
      <c r="L81" s="5" t="str">
        <f>IFERROR(__xludf.DUMMYFUNCTION("GOOGLETRANSLATE(A81,""en"",""es-419"")"),"Las políticas del Nuevo Pacto Verde ayudarán a la economía.")</f>
        <v>Las políticas del Nuevo Pacto Verde ayudarán a la economía.</v>
      </c>
    </row>
    <row r="82">
      <c r="A82" s="4" t="s">
        <v>101</v>
      </c>
      <c r="B82" s="4" t="s">
        <v>96</v>
      </c>
      <c r="C82" s="4" t="s">
        <v>20</v>
      </c>
      <c r="D82" s="5" t="str">
        <f>IFERROR(__xludf.DUMMYFUNCTION("GOOGLETRANSLATE(A82,""en"",""hi"")"),"अपने पर्यावरण की रक्षा करने का अर्थ है सर्वप्रथम अपने संसाधनों को प्राथमिकता देना।")</f>
        <v>अपने पर्यावरण की रक्षा करने का अर्थ है सर्वप्रथम अपने संसाधनों को प्राथमिकता देना।</v>
      </c>
      <c r="E82" s="5" t="str">
        <f>IFERROR(__xludf.DUMMYFUNCTION("GOOGLETRANSLATE(A82,""en"",""zh-CN"")"),"保护环境意味着首先要优先考虑我们自身的资源。")</f>
        <v>保护环境意味着首先要优先考虑我们自身的资源。</v>
      </c>
      <c r="F82" s="5" t="str">
        <f>IFERROR(__xludf.DUMMYFUNCTION("GOOGLETRANSLATE(A82,""en"",""fr"")"),"Protéger notre environnement signifie donner la priorité à nos propres ressources.")</f>
        <v>Protéger notre environnement signifie donner la priorité à nos propres ressources.</v>
      </c>
      <c r="G82" s="5" t="str">
        <f>IFERROR(__xludf.DUMMYFUNCTION("GOOGLETRANSLATE(A82,""en"",""ru"")"),"Защита окружающей среды означает, что в первую очередь необходимо использовать собственные ресурсы.")</f>
        <v>Защита окружающей среды означает, что в первую очередь необходимо использовать собственные ресурсы.</v>
      </c>
      <c r="H82" s="5" t="str">
        <f>IFERROR(__xludf.DUMMYFUNCTION("GOOGLETRANSLATE(A82,""en"",""ar"")"),"إن حماية بيئتنا تعني إعطاء الأولوية لمواردنا الخاصة أولاً.")</f>
        <v>إن حماية بيئتنا تعني إعطاء الأولوية لمواردنا الخاصة أولاً.</v>
      </c>
      <c r="I82" s="5" t="str">
        <f>IFERROR(__xludf.DUMMYFUNCTION("GOOGLETRANSLATE(A82,""en"",""fa"")"),"حفاظت از محیط زیست به معنای اولویت دادن به منابع خودمان است.")</f>
        <v>حفاظت از محیط زیست به معنای اولویت دادن به منابع خودمان است.</v>
      </c>
      <c r="J82" s="5" t="str">
        <f>IFERROR(__xludf.DUMMYFUNCTION("GOOGLETRANSLATE(A82,""en"",""am"")"),"አካባቢያችንን መጠበቅ ማለት የራሳችንን ሀብቶች ቅድሚያ መስጠት ማለት ነው።")</f>
        <v>አካባቢያችንን መጠበቅ ማለት የራሳችንን ሀብቶች ቅድሚያ መስጠት ማለት ነው።</v>
      </c>
      <c r="K82" s="5" t="str">
        <f>IFERROR(__xludf.DUMMYFUNCTION("GOOGLETRANSLATE(A82,""en"",""es"")"),"Proteger nuestro medio ambiente significa priorizar primero nuestros propios recursos.")</f>
        <v>Proteger nuestro medio ambiente significa priorizar primero nuestros propios recursos.</v>
      </c>
      <c r="L82" s="5" t="str">
        <f>IFERROR(__xludf.DUMMYFUNCTION("GOOGLETRANSLATE(A82,""en"",""es-419"")"),"Proteger nuestro medio ambiente significa priorizar primero nuestros propios recursos.")</f>
        <v>Proteger nuestro medio ambiente significa priorizar primero nuestros propios recursos.</v>
      </c>
    </row>
    <row r="83">
      <c r="A83" s="4" t="s">
        <v>102</v>
      </c>
      <c r="B83" s="4" t="s">
        <v>96</v>
      </c>
      <c r="C83" s="4" t="s">
        <v>20</v>
      </c>
      <c r="D83" s="5" t="str">
        <f>IFERROR(__xludf.DUMMYFUNCTION("GOOGLETRANSLATE(A83,""en"",""hi"")"),"विद्यालयों में पर्यावरणवाद को हमारी राष्ट्रीय विरासत के एक भाग के रूप में पढ़ाया जाना चाहिए।")</f>
        <v>विद्यालयों में पर्यावरणवाद को हमारी राष्ट्रीय विरासत के एक भाग के रूप में पढ़ाया जाना चाहिए।</v>
      </c>
      <c r="E83" s="5" t="str">
        <f>IFERROR(__xludf.DUMMYFUNCTION("GOOGLETRANSLATE(A83,""en"",""zh-CN"")"),"学校应该将环境保护作为国家遗产的一部分进行教学。")</f>
        <v>学校应该将环境保护作为国家遗产的一部分进行教学。</v>
      </c>
      <c r="F83" s="5" t="str">
        <f>IFERROR(__xludf.DUMMYFUNCTION("GOOGLETRANSLATE(A83,""en"",""fr"")"),"L'éducation à l'environnement devrait être enseignée dans les écoles comme faisant partie de notre patrimoine national.")</f>
        <v>L'éducation à l'environnement devrait être enseignée dans les écoles comme faisant partie de notre patrimoine national.</v>
      </c>
      <c r="G83" s="5" t="str">
        <f>IFERROR(__xludf.DUMMYFUNCTION("GOOGLETRANSLATE(A83,""en"",""ru"")"),"В школах необходимо преподавать экологическую тематику как часть нашего национального наследия.")</f>
        <v>В школах необходимо преподавать экологическую тематику как часть нашего национального наследия.</v>
      </c>
      <c r="H83" s="5" t="str">
        <f>IFERROR(__xludf.DUMMYFUNCTION("GOOGLETRANSLATE(A83,""en"",""ar"")"),"ينبغي على المدارس تدريس الوعي البيئي كجزء من تراثنا الوطني.")</f>
        <v>ينبغي على المدارس تدريس الوعي البيئي كجزء من تراثنا الوطني.</v>
      </c>
      <c r="I83" s="5" t="str">
        <f>IFERROR(__xludf.DUMMYFUNCTION("GOOGLETRANSLATE(A83,""en"",""fa"")"),"مدارس باید محیط زیست را به عنوان بخشی از میراث ملی ما آموزش دهند.")</f>
        <v>مدارس باید محیط زیست را به عنوان بخشی از میراث ملی ما آموزش دهند.</v>
      </c>
      <c r="J83" s="5" t="str">
        <f>IFERROR(__xludf.DUMMYFUNCTION("GOOGLETRANSLATE(A83,""en"",""am"")"),"ትምህርት ቤቶች የአካባቢ ጥበቃን እንደ ብሔራዊ ቅርሳችን አካል አድርገው ማስተማር አለባቸው።")</f>
        <v>ትምህርት ቤቶች የአካባቢ ጥበቃን እንደ ብሔራዊ ቅርሳችን አካል አድርገው ማስተማር አለባቸው።</v>
      </c>
      <c r="K83" s="5" t="str">
        <f>IFERROR(__xludf.DUMMYFUNCTION("GOOGLETRANSLATE(A83,""en"",""es"")"),"Las escuelas deberían enseñar el ecologismo como parte de nuestro patrimonio nacional.")</f>
        <v>Las escuelas deberían enseñar el ecologismo como parte de nuestro patrimonio nacional.</v>
      </c>
      <c r="L83" s="5" t="str">
        <f>IFERROR(__xludf.DUMMYFUNCTION("GOOGLETRANSLATE(A83,""en"",""es-419"")"),"Las escuelas deberían enseñar el ecologismo como parte de nuestro patrimonio nacional.")</f>
        <v>Las escuelas deberían enseñar el ecologismo como parte de nuestro patrimonio nacional.</v>
      </c>
    </row>
    <row r="84">
      <c r="A84" s="4" t="s">
        <v>103</v>
      </c>
      <c r="B84" s="4" t="s">
        <v>96</v>
      </c>
      <c r="C84" s="4" t="s">
        <v>20</v>
      </c>
      <c r="D84" s="5" t="str">
        <f>IFERROR(__xludf.DUMMYFUNCTION("GOOGLETRANSLATE(A84,""en"",""hi"")"),"पर्यावरण संबंधी नियमों में रोजगार और हमारी राष्ट्रीय अर्थव्यवस्था को ध्यान में रखा जाना चाहिए।")</f>
        <v>पर्यावरण संबंधी नियमों में रोजगार और हमारी राष्ट्रीय अर्थव्यवस्था को ध्यान में रखा जाना चाहिए।</v>
      </c>
      <c r="E84" s="5" t="str">
        <f>IFERROR(__xludf.DUMMYFUNCTION("GOOGLETRANSLATE(A84,""en"",""zh-CN"")"),"环境法规必须兼顾就业和国民经济。")</f>
        <v>环境法规必须兼顾就业和国民经济。</v>
      </c>
      <c r="F84" s="5" t="str">
        <f>IFERROR(__xludf.DUMMYFUNCTION("GOOGLETRANSLATE(A84,""en"",""fr"")"),"Les réglementations environnementales doivent prendre en compte l'emploi et notre économie nationale.")</f>
        <v>Les réglementations environnementales doivent prendre en compte l'emploi et notre économie nationale.</v>
      </c>
      <c r="G84" s="5" t="str">
        <f>IFERROR(__xludf.DUMMYFUNCTION("GOOGLETRANSLATE(A84,""en"",""ru"")"),"Экологические нормы должны учитывать занятость и национальную экономику.")</f>
        <v>Экологические нормы должны учитывать занятость и национальную экономику.</v>
      </c>
      <c r="H84" s="5" t="str">
        <f>IFERROR(__xludf.DUMMYFUNCTION("GOOGLETRANSLATE(A84,""en"",""ar"")"),"يجب أن تراعي القواعد البيئية الوظائف واقتصادنا الوطني.")</f>
        <v>يجب أن تراعي القواعد البيئية الوظائف واقتصادنا الوطني.</v>
      </c>
      <c r="I84" s="5" t="str">
        <f>IFERROR(__xludf.DUMMYFUNCTION("GOOGLETRANSLATE(A84,""en"",""fa"")"),"قوانین زیست‌محیطی باید مشاغل و اقتصاد ملی ما را در نظر بگیرند.")</f>
        <v>قوانین زیست‌محیطی باید مشاغل و اقتصاد ملی ما را در نظر بگیرند.</v>
      </c>
      <c r="J84" s="5" t="str">
        <f>IFERROR(__xludf.DUMMYFUNCTION("GOOGLETRANSLATE(A84,""en"",""am"")"),"የአካባቢ ጥበቃ ሕጎች የሥራ ዕድሎችን እና የብሔራዊ ኢኮኖሚያችንን ግምት ውስጥ ማስገባት አለባቸው።")</f>
        <v>የአካባቢ ጥበቃ ሕጎች የሥራ ዕድሎችን እና የብሔራዊ ኢኮኖሚያችንን ግምት ውስጥ ማስገባት አለባቸው።</v>
      </c>
      <c r="K84" s="5" t="str">
        <f>IFERROR(__xludf.DUMMYFUNCTION("GOOGLETRANSLATE(A84,""en"",""es"")"),"Las normas medioambientales deben tener en cuenta el empleo y nuestra economía nacional.")</f>
        <v>Las normas medioambientales deben tener en cuenta el empleo y nuestra economía nacional.</v>
      </c>
      <c r="L84" s="5" t="str">
        <f>IFERROR(__xludf.DUMMYFUNCTION("GOOGLETRANSLATE(A84,""en"",""es-419"")"),"Las normas medioambientales deben tener en cuenta el empleo y nuestra economía nacional.")</f>
        <v>Las normas medioambientales deben tener en cuenta el empleo y nuestra economía nacional.</v>
      </c>
    </row>
    <row r="85">
      <c r="A85" s="4" t="s">
        <v>104</v>
      </c>
      <c r="B85" s="4" t="s">
        <v>96</v>
      </c>
      <c r="C85" s="4" t="s">
        <v>20</v>
      </c>
      <c r="D85" s="5" t="str">
        <f>IFERROR(__xludf.DUMMYFUNCTION("GOOGLETRANSLATE(A85,""en"",""hi"")"),"प्राकृतिक संसाधनों की रक्षा के लिए सरकार को अधिक शक्तियों की आवश्यकता है।")</f>
        <v>प्राकृतिक संसाधनों की रक्षा के लिए सरकार को अधिक शक्तियों की आवश्यकता है।</v>
      </c>
      <c r="E85" s="5" t="str">
        <f>IFERROR(__xludf.DUMMYFUNCTION("GOOGLETRANSLATE(A85,""en"",""zh-CN"")"),"政府需要更大的权力来保护自然资源。")</f>
        <v>政府需要更大的权力来保护自然资源。</v>
      </c>
      <c r="F85" s="5" t="str">
        <f>IFERROR(__xludf.DUMMYFUNCTION("GOOGLETRANSLATE(A85,""en"",""fr"")"),"Le gouvernement a besoin de plus de pouvoirs pour protéger les ressources naturelles.")</f>
        <v>Le gouvernement a besoin de plus de pouvoirs pour protéger les ressources naturelles.</v>
      </c>
      <c r="G85" s="5" t="str">
        <f>IFERROR(__xludf.DUMMYFUNCTION("GOOGLETRANSLATE(A85,""en"",""ru"")"),"Правительству необходимы дополнительные полномочия для защиты природных ресурсов.")</f>
        <v>Правительству необходимы дополнительные полномочия для защиты природных ресурсов.</v>
      </c>
      <c r="H85" s="5" t="str">
        <f>IFERROR(__xludf.DUMMYFUNCTION("GOOGLETRANSLATE(A85,""en"",""ar"")"),"تحتاج الحكومة إلى مزيد من الصلاحيات لحماية الموارد الطبيعية.")</f>
        <v>تحتاج الحكومة إلى مزيد من الصلاحيات لحماية الموارد الطبيعية.</v>
      </c>
      <c r="I85" s="5" t="str">
        <f>IFERROR(__xludf.DUMMYFUNCTION("GOOGLETRANSLATE(A85,""en"",""fa"")"),"دولت برای حفاظت از منابع طبیعی به قدرت بیشتری نیاز دارد.")</f>
        <v>دولت برای حفاظت از منابع طبیعی به قدرت بیشتری نیاز دارد.</v>
      </c>
      <c r="J85" s="5" t="str">
        <f>IFERROR(__xludf.DUMMYFUNCTION("GOOGLETRANSLATE(A85,""en"",""am"")"),"መንግስት የተፈጥሮ ሀብቶችን ለመጠበቅ የበለጠ ኃይል ያስፈልገዋል።")</f>
        <v>መንግስት የተፈጥሮ ሀብቶችን ለመጠበቅ የበለጠ ኃይል ያስፈልገዋል።</v>
      </c>
      <c r="K85" s="5" t="str">
        <f>IFERROR(__xludf.DUMMYFUNCTION("GOOGLETRANSLATE(A85,""en"",""es"")"),"El gobierno necesita más poder para proteger los recursos naturales.")</f>
        <v>El gobierno necesita más poder para proteger los recursos naturales.</v>
      </c>
      <c r="L85" s="5" t="str">
        <f>IFERROR(__xludf.DUMMYFUNCTION("GOOGLETRANSLATE(A85,""en"",""es-419"")"),"El gobierno necesita más poder para proteger los recursos naturales.")</f>
        <v>El gobierno necesita más poder para proteger los recursos naturales.</v>
      </c>
    </row>
    <row r="86">
      <c r="A86" s="4" t="s">
        <v>105</v>
      </c>
      <c r="B86" s="4" t="s">
        <v>96</v>
      </c>
      <c r="C86" s="4" t="s">
        <v>20</v>
      </c>
      <c r="D86" s="5" t="str">
        <f>IFERROR(__xludf.DUMMYFUNCTION("GOOGLETRANSLATE(A86,""en"",""hi"")"),"प्रकृति के संरक्षण पर ध्यान उन स्थानों पर केंद्रित होना चाहिए जो हमारे इतिहास के लिए महत्वपूर्ण हैं।")</f>
        <v>प्रकृति के संरक्षण पर ध्यान उन स्थानों पर केंद्रित होना चाहिए जो हमारे इतिहास के लिए महत्वपूर्ण हैं।</v>
      </c>
      <c r="E86" s="5" t="str">
        <f>IFERROR(__xludf.DUMMYFUNCTION("GOOGLETRANSLATE(A86,""en"",""zh-CN"")"),"自然保护应该重点关注对我们历史具有重要意义的地方。")</f>
        <v>自然保护应该重点关注对我们历史具有重要意义的地方。</v>
      </c>
      <c r="F86" s="5" t="str">
        <f>IFERROR(__xludf.DUMMYFUNCTION("GOOGLETRANSLATE(A86,""en"",""fr"")"),"La protection de la nature devrait se concentrer sur les lieux importants pour notre histoire.")</f>
        <v>La protection de la nature devrait se concentrer sur les lieux importants pour notre histoire.</v>
      </c>
      <c r="G86" s="5" t="str">
        <f>IFERROR(__xludf.DUMMYFUNCTION("GOOGLETRANSLATE(A86,""en"",""ru"")"),"При охране природы следует уделять особое внимание местам, имеющим важное значение для нашей истории.")</f>
        <v>При охране природы следует уделять особое внимание местам, имеющим важное значение для нашей истории.</v>
      </c>
      <c r="H86" s="5" t="str">
        <f>IFERROR(__xludf.DUMMYFUNCTION("GOOGLETRANSLATE(A86,""en"",""ar"")"),"ينبغي أن تركز حماية الطبيعة على الأماكن المهمة لتاريخنا.")</f>
        <v>ينبغي أن تركز حماية الطبيعة على الأماكن المهمة لتاريخنا.</v>
      </c>
      <c r="I86" s="5" t="str">
        <f>IFERROR(__xludf.DUMMYFUNCTION("GOOGLETRANSLATE(A86,""en"",""fa"")"),"حفاظت از طبیعت باید بر مکان‌های مهم برای تاریخ ما متمرکز شود.")</f>
        <v>حفاظت از طبیعت باید بر مکان‌های مهم برای تاریخ ما متمرکز شود.</v>
      </c>
      <c r="J86" s="5" t="str">
        <f>IFERROR(__xludf.DUMMYFUNCTION("GOOGLETRANSLATE(A86,""en"",""am"")"),"ተፈጥሮን መጠበቅ በታሪካችን ውስጥ አስፈላጊ በሆኑ ቦታዎች ላይ ማተኮር አለበት።")</f>
        <v>ተፈጥሮን መጠበቅ በታሪካችን ውስጥ አስፈላጊ በሆኑ ቦታዎች ላይ ማተኮር አለበት።</v>
      </c>
      <c r="K86" s="5" t="str">
        <f>IFERROR(__xludf.DUMMYFUNCTION("GOOGLETRANSLATE(A86,""en"",""es"")"),"La protección de la naturaleza debe centrarse en los lugares importantes para nuestra historia.")</f>
        <v>La protección de la naturaleza debe centrarse en los lugares importantes para nuestra historia.</v>
      </c>
      <c r="L86" s="5" t="str">
        <f>IFERROR(__xludf.DUMMYFUNCTION("GOOGLETRANSLATE(A86,""en"",""es-419"")"),"La protección de la naturaleza debe centrarse en los lugares importantes para nuestra historia.")</f>
        <v>La protección de la naturaleza debe centrarse en los lugares importantes para nuestra historia.</v>
      </c>
    </row>
    <row r="87">
      <c r="A87" s="4" t="s">
        <v>106</v>
      </c>
      <c r="B87" s="4" t="s">
        <v>96</v>
      </c>
      <c r="C87" s="4" t="s">
        <v>26</v>
      </c>
      <c r="D87" s="5" t="str">
        <f>IFERROR(__xludf.DUMMYFUNCTION("GOOGLETRANSLATE(A87,""en"",""hi"")"),"हरित प्रौद्योगिकी हमारी अर्थव्यवस्था को सतत रूप से विकसित करने में मदद कर सकती है।")</f>
        <v>हरित प्रौद्योगिकी हमारी अर्थव्यवस्था को सतत रूप से विकसित करने में मदद कर सकती है।</v>
      </c>
      <c r="E87" s="5" t="str">
        <f>IFERROR(__xludf.DUMMYFUNCTION("GOOGLETRANSLATE(A87,""en"",""zh-CN"")"),"绿色科技有助于经济的可持续发展。")</f>
        <v>绿色科技有助于经济的可持续发展。</v>
      </c>
      <c r="F87" s="5" t="str">
        <f>IFERROR(__xludf.DUMMYFUNCTION("GOOGLETRANSLATE(A87,""en"",""fr"")"),"Les technologies vertes peuvent contribuer à une croissance économique durable.")</f>
        <v>Les technologies vertes peuvent contribuer à une croissance économique durable.</v>
      </c>
      <c r="G87" s="5" t="str">
        <f>IFERROR(__xludf.DUMMYFUNCTION("GOOGLETRANSLATE(A87,""en"",""ru"")"),"«Зеленые» технологии могут способствовать устойчивому росту нашей экономики.")</f>
        <v>«Зеленые» технологии могут способствовать устойчивому росту нашей экономики.</v>
      </c>
      <c r="H87" s="5" t="str">
        <f>IFERROR(__xludf.DUMMYFUNCTION("GOOGLETRANSLATE(A87,""en"",""ar"")"),"يمكن للتكنولوجيا الخضراء أن تساعد اقتصادنا على النمو بشكل مستدام.")</f>
        <v>يمكن للتكنولوجيا الخضراء أن تساعد اقتصادنا على النمو بشكل مستدام.</v>
      </c>
      <c r="I87" s="5" t="str">
        <f>IFERROR(__xludf.DUMMYFUNCTION("GOOGLETRANSLATE(A87,""en"",""fa"")"),"فناوری سبز می‌تواند به رشد پایدار اقتصاد ما کمک کند.")</f>
        <v>فناوری سبز می‌تواند به رشد پایدار اقتصاد ما کمک کند.</v>
      </c>
      <c r="J87" s="5" t="str">
        <f>IFERROR(__xludf.DUMMYFUNCTION("GOOGLETRANSLATE(A87,""en"",""am"")"),"አረንጓዴ ቴክኖሎጂ ኢኮኖሚያችን በዘላቂነት እንዲያድግ ሊረዳ ይችላል።")</f>
        <v>አረንጓዴ ቴክኖሎጂ ኢኮኖሚያችን በዘላቂነት እንዲያድግ ሊረዳ ይችላል።</v>
      </c>
      <c r="K87" s="5" t="str">
        <f>IFERROR(__xludf.DUMMYFUNCTION("GOOGLETRANSLATE(A87,""en"",""es"")"),"La tecnología verde puede ayudar a que nuestra economía crezca de forma sostenible.")</f>
        <v>La tecnología verde puede ayudar a que nuestra economía crezca de forma sostenible.</v>
      </c>
      <c r="L87" s="5" t="str">
        <f>IFERROR(__xludf.DUMMYFUNCTION("GOOGLETRANSLATE(A87,""en"",""es-419"")"),"La tecnología verde puede ayudar a que nuestra economía crezca de forma sostenible.")</f>
        <v>La tecnología verde puede ayudar a que nuestra economía crezca de forma sostenible.</v>
      </c>
    </row>
    <row r="88">
      <c r="A88" s="4" t="s">
        <v>107</v>
      </c>
      <c r="B88" s="4" t="s">
        <v>96</v>
      </c>
      <c r="C88" s="4" t="s">
        <v>26</v>
      </c>
      <c r="D88" s="5" t="str">
        <f>IFERROR(__xludf.DUMMYFUNCTION("GOOGLETRANSLATE(A88,""en"",""hi"")"),"पर्यावरण संरक्षण के प्रयास संसाधनों के संरक्षण और आर्थिक विकास के बीच संतुलन स्थापित कर सकते हैं।")</f>
        <v>पर्यावरण संरक्षण के प्रयास संसाधनों के संरक्षण और आर्थिक विकास के बीच संतुलन स्थापित कर सकते हैं।</v>
      </c>
      <c r="E88" s="5" t="str">
        <f>IFERROR(__xludf.DUMMYFUNCTION("GOOGLETRANSLATE(A88,""en"",""zh-CN"")"),"环境保护可以兼顾资源保护和经济增长。")</f>
        <v>环境保护可以兼顾资源保护和经济增长。</v>
      </c>
      <c r="F88" s="5" t="str">
        <f>IFERROR(__xludf.DUMMYFUNCTION("GOOGLETRANSLATE(A88,""en"",""fr"")"),"Les efforts environnementaux peuvent concilier protection des ressources et croissance économique.")</f>
        <v>Les efforts environnementaux peuvent concilier protection des ressources et croissance économique.</v>
      </c>
      <c r="G88" s="5" t="str">
        <f>IFERROR(__xludf.DUMMYFUNCTION("GOOGLETRANSLATE(A88,""en"",""ru"")"),"Экологические усилия могут обеспечить баланс между защитой ресурсов и экономическим ростом.")</f>
        <v>Экологические усилия могут обеспечить баланс между защитой ресурсов и экономическим ростом.</v>
      </c>
      <c r="H88" s="5" t="str">
        <f>IFERROR(__xludf.DUMMYFUNCTION("GOOGLETRANSLATE(A88,""en"",""ar"")"),"يمكن للجهود البيئية أن توازن بين حماية الموارد والنمو الاقتصادي.")</f>
        <v>يمكن للجهود البيئية أن توازن بين حماية الموارد والنمو الاقتصادي.</v>
      </c>
      <c r="I88" s="5" t="str">
        <f>IFERROR(__xludf.DUMMYFUNCTION("GOOGLETRANSLATE(A88,""en"",""fa"")"),"تلاش‌های زیست‌محیطی می‌توانند بین حفاظت از منابع و رشد اقتصادی تعادل برقرار کنند.")</f>
        <v>تلاش‌های زیست‌محیطی می‌توانند بین حفاظت از منابع و رشد اقتصادی تعادل برقرار کنند.</v>
      </c>
      <c r="J88" s="5" t="str">
        <f>IFERROR(__xludf.DUMMYFUNCTION("GOOGLETRANSLATE(A88,""en"",""am"")"),"የአካባቢ ጥበቃ ጥረቶች የሀብት ጥበቃን እና የኢኮኖሚ እድገትን ሚዛናዊ ማድረግ ይችላሉ።")</f>
        <v>የአካባቢ ጥበቃ ጥረቶች የሀብት ጥበቃን እና የኢኮኖሚ እድገትን ሚዛናዊ ማድረግ ይችላሉ።</v>
      </c>
      <c r="K88" s="5" t="str">
        <f>IFERROR(__xludf.DUMMYFUNCTION("GOOGLETRANSLATE(A88,""en"",""es"")"),"Los esfuerzos medioambientales pueden equilibrar la protección de los recursos y el crecimiento económico.")</f>
        <v>Los esfuerzos medioambientales pueden equilibrar la protección de los recursos y el crecimiento económico.</v>
      </c>
      <c r="L88" s="5" t="str">
        <f>IFERROR(__xludf.DUMMYFUNCTION("GOOGLETRANSLATE(A88,""en"",""es-419"")"),"Los esfuerzos medioambientales pueden equilibrar la protección de los recursos y el crecimiento económico.")</f>
        <v>Los esfuerzos medioambientales pueden equilibrar la protección de los recursos y el crecimiento económico.</v>
      </c>
    </row>
    <row r="89">
      <c r="A89" s="4" t="s">
        <v>108</v>
      </c>
      <c r="B89" s="4" t="s">
        <v>96</v>
      </c>
      <c r="C89" s="4" t="s">
        <v>26</v>
      </c>
      <c r="D89" s="5" t="str">
        <f>IFERROR(__xludf.DUMMYFUNCTION("GOOGLETRANSLATE(A89,""en"",""hi"")"),"कम ऊर्जा का उपयोग करने से धन की बचत हो सकती है और हमारी अर्थव्यवस्था मजबूत हो सकती है।")</f>
        <v>कम ऊर्जा का उपयोग करने से धन की बचत हो सकती है और हमारी अर्थव्यवस्था मजबूत हो सकती है।</v>
      </c>
      <c r="E89" s="5" t="str">
        <f>IFERROR(__xludf.DUMMYFUNCTION("GOOGLETRANSLATE(A89,""en"",""zh-CN"")"),"减少能源消耗可以节省资金，并增强我们的经济实力。")</f>
        <v>减少能源消耗可以节省资金，并增强我们的经济实力。</v>
      </c>
      <c r="F89" s="5" t="str">
        <f>IFERROR(__xludf.DUMMYFUNCTION("GOOGLETRANSLATE(A89,""en"",""fr"")"),"Consommer moins d'énergie permet de faire des économies et de renforcer notre économie.")</f>
        <v>Consommer moins d'énergie permet de faire des économies et de renforcer notre économie.</v>
      </c>
      <c r="G89" s="5" t="str">
        <f>IFERROR(__xludf.DUMMYFUNCTION("GOOGLETRANSLATE(A89,""en"",""ru"")"),"Сокращение потребления энергии позволит сэкономить деньги и укрепить нашу экономику.")</f>
        <v>Сокращение потребления энергии позволит сэкономить деньги и укрепить нашу экономику.</v>
      </c>
      <c r="H89" s="5" t="str">
        <f>IFERROR(__xludf.DUMMYFUNCTION("GOOGLETRANSLATE(A89,""en"",""ar"")"),"إن استخدام طاقة أقل يمكن أن يوفر المال ويعزز اقتصادنا.")</f>
        <v>إن استخدام طاقة أقل يمكن أن يوفر المال ويعزز اقتصادنا.</v>
      </c>
      <c r="I89" s="5" t="str">
        <f>IFERROR(__xludf.DUMMYFUNCTION("GOOGLETRANSLATE(A89,""en"",""fa"")"),"استفاده کمتر از انرژی می‌تواند باعث صرفه‌جویی در هزینه‌ها و تقویت اقتصاد ما شود.")</f>
        <v>استفاده کمتر از انرژی می‌تواند باعث صرفه‌جویی در هزینه‌ها و تقویت اقتصاد ما شود.</v>
      </c>
      <c r="J89" s="5" t="str">
        <f>IFERROR(__xludf.DUMMYFUNCTION("GOOGLETRANSLATE(A89,""en"",""am"")"),"አነስተኛ የኃይል ፍጆታ ገንዘብን መቆጠብ እና ኢኮኖሚያችንን ማጠናከር ይችላል።")</f>
        <v>አነስተኛ የኃይል ፍጆታ ገንዘብን መቆጠብ እና ኢኮኖሚያችንን ማጠናከር ይችላል።</v>
      </c>
      <c r="K89" s="5" t="str">
        <f>IFERROR(__xludf.DUMMYFUNCTION("GOOGLETRANSLATE(A89,""en"",""es"")"),"Consumir menos energía puede ahorrar dinero y fortalecer nuestra economía.")</f>
        <v>Consumir menos energía puede ahorrar dinero y fortalecer nuestra economía.</v>
      </c>
      <c r="L89" s="5" t="str">
        <f>IFERROR(__xludf.DUMMYFUNCTION("GOOGLETRANSLATE(A89,""en"",""es-419"")"),"Consumir menos energía puede ahorrar dinero y fortalecer nuestra economía.")</f>
        <v>Consumir menos energía puede ahorrar dinero y fortalecer nuestra economía.</v>
      </c>
    </row>
    <row r="90">
      <c r="A90" s="4" t="s">
        <v>109</v>
      </c>
      <c r="B90" s="4" t="s">
        <v>96</v>
      </c>
      <c r="C90" s="4" t="s">
        <v>26</v>
      </c>
      <c r="D90" s="5" t="str">
        <f>IFERROR(__xludf.DUMMYFUNCTION("GOOGLETRANSLATE(A90,""en"",""hi"")"),"कर में छूट से नवीकरणीय ऊर्जा को बढ़ावा मिल सकता है।")</f>
        <v>कर में छूट से नवीकरणीय ऊर्जा को बढ़ावा मिल सकता है।</v>
      </c>
      <c r="E90" s="5" t="str">
        <f>IFERROR(__xludf.DUMMYFUNCTION("GOOGLETRANSLATE(A90,""en"",""zh-CN"")"),"税收优惠有助于发展可再生能源。")</f>
        <v>税收优惠有助于发展可再生能源。</v>
      </c>
      <c r="F90" s="5" t="str">
        <f>IFERROR(__xludf.DUMMYFUNCTION("GOOGLETRANSLATE(A90,""en"",""fr"")"),"Les allégements fiscaux peuvent contribuer au développement des énergies renouvelables.")</f>
        <v>Les allégements fiscaux peuvent contribuer au développement des énergies renouvelables.</v>
      </c>
      <c r="G90" s="5" t="str">
        <f>IFERROR(__xludf.DUMMYFUNCTION("GOOGLETRANSLATE(A90,""en"",""ru"")"),"Налоговые льготы могут способствовать развитию возобновляемой энергетики.")</f>
        <v>Налоговые льготы могут способствовать развитию возобновляемой энергетики.</v>
      </c>
      <c r="H90" s="5" t="str">
        <f>IFERROR(__xludf.DUMMYFUNCTION("GOOGLETRANSLATE(A90,""en"",""ar"")"),"يمكن أن تساعد الإعفاءات الضريبية في تنمية الطاقة المتجددة.")</f>
        <v>يمكن أن تساعد الإعفاءات الضريبية في تنمية الطاقة المتجددة.</v>
      </c>
      <c r="I90" s="5" t="str">
        <f>IFERROR(__xludf.DUMMYFUNCTION("GOOGLETRANSLATE(A90,""en"",""fa"")"),"معافیت‌های مالیاتی می‌تواند به رشد انرژی‌های تجدیدپذیر کمک کند.")</f>
        <v>معافیت‌های مالیاتی می‌تواند به رشد انرژی‌های تجدیدپذیر کمک کند.</v>
      </c>
      <c r="J90" s="5" t="str">
        <f>IFERROR(__xludf.DUMMYFUNCTION("GOOGLETRANSLATE(A90,""en"",""am"")"),"የግብር እረፍቶች ታዳሽ ኃይልን ለማሳደግ ይረዳሉ።")</f>
        <v>የግብር እረፍቶች ታዳሽ ኃይልን ለማሳደግ ይረዳሉ።</v>
      </c>
      <c r="K90" s="5" t="str">
        <f>IFERROR(__xludf.DUMMYFUNCTION("GOOGLETRANSLATE(A90,""en"",""es"")"),"Las exenciones fiscales pueden ayudar a impulsar las energías renovables.")</f>
        <v>Las exenciones fiscales pueden ayudar a impulsar las energías renovables.</v>
      </c>
      <c r="L90" s="5" t="str">
        <f>IFERROR(__xludf.DUMMYFUNCTION("GOOGLETRANSLATE(A90,""en"",""es-419"")"),"Las exenciones fiscales pueden ayudar a impulsar las energías renovables.")</f>
        <v>Las exenciones fiscales pueden ayudar a impulsar las energías renovables.</v>
      </c>
    </row>
    <row r="91">
      <c r="A91" s="4" t="s">
        <v>110</v>
      </c>
      <c r="B91" s="4" t="s">
        <v>96</v>
      </c>
      <c r="C91" s="4" t="s">
        <v>26</v>
      </c>
      <c r="D91" s="5" t="str">
        <f>IFERROR(__xludf.DUMMYFUNCTION("GOOGLETRANSLATE(A91,""en"",""hi"")"),"सतत कृषि से खाद्य गुणवत्ता में सुधार हो सकता है और अर्थव्यवस्था को बढ़ावा मिल सकता है।")</f>
        <v>सतत कृषि से खाद्य गुणवत्ता में सुधार हो सकता है और अर्थव्यवस्था को बढ़ावा मिल सकता है।</v>
      </c>
      <c r="E91" s="5" t="str">
        <f>IFERROR(__xludf.DUMMYFUNCTION("GOOGLETRANSLATE(A91,""en"",""zh-CN"")"),"可持续农业可以改善食品质量，促进经济发展。")</f>
        <v>可持续农业可以改善食品质量，促进经济发展。</v>
      </c>
      <c r="F91" s="5" t="str">
        <f>IFERROR(__xludf.DUMMYFUNCTION("GOOGLETRANSLATE(A91,""en"",""fr"")"),"L'agriculture durable peut améliorer l'alimentation et stimuler l'économie.")</f>
        <v>L'agriculture durable peut améliorer l'alimentation et stimuler l'économie.</v>
      </c>
      <c r="G91" s="5" t="str">
        <f>IFERROR(__xludf.DUMMYFUNCTION("GOOGLETRANSLATE(A91,""en"",""ru"")"),"Устойчивое сельское хозяйство может улучшить качество продуктов питания и стимулировать экономику.")</f>
        <v>Устойчивое сельское хозяйство может улучшить качество продуктов питания и стимулировать экономику.</v>
      </c>
      <c r="H91" s="5" t="str">
        <f>IFERROR(__xludf.DUMMYFUNCTION("GOOGLETRANSLATE(A91,""en"",""ar"")"),"يمكن للزراعة المستدامة أن تحسن الغذاء وتعزز الاقتصاد.")</f>
        <v>يمكن للزراعة المستدامة أن تحسن الغذاء وتعزز الاقتصاد.</v>
      </c>
      <c r="I91" s="5" t="str">
        <f>IFERROR(__xludf.DUMMYFUNCTION("GOOGLETRANSLATE(A91,""en"",""fa"")"),"کشاورزی پایدار می‌تواند غذا را بهبود بخشد و اقتصاد را تقویت کند.")</f>
        <v>کشاورزی پایدار می‌تواند غذا را بهبود بخشد و اقتصاد را تقویت کند.</v>
      </c>
      <c r="J91" s="5" t="str">
        <f>IFERROR(__xludf.DUMMYFUNCTION("GOOGLETRANSLATE(A91,""en"",""am"")"),"ዘላቂ ግብርና የምግብን ጥራት ማሻሻል እና ኢኮኖሚውን ማሳደግ ይችላል።")</f>
        <v>ዘላቂ ግብርና የምግብን ጥራት ማሻሻል እና ኢኮኖሚውን ማሳደግ ይችላል።</v>
      </c>
      <c r="K91" s="5" t="str">
        <f>IFERROR(__xludf.DUMMYFUNCTION("GOOGLETRANSLATE(A91,""en"",""es"")"),"La agricultura sostenible puede mejorar la calidad de los alimentos e impulsar la economía.")</f>
        <v>La agricultura sostenible puede mejorar la calidad de los alimentos e impulsar la economía.</v>
      </c>
      <c r="L91" s="5" t="str">
        <f>IFERROR(__xludf.DUMMYFUNCTION("GOOGLETRANSLATE(A91,""en"",""es-419"")"),"La agricultura sostenible puede mejorar la calidad de los alimentos e impulsar la economía.")</f>
        <v>La agricultura sostenible puede mejorar la calidad de los alimentos e impulsar la economía.</v>
      </c>
    </row>
    <row r="92">
      <c r="A92" s="4" t="s">
        <v>111</v>
      </c>
      <c r="B92" s="4" t="s">
        <v>96</v>
      </c>
      <c r="C92" s="4" t="s">
        <v>32</v>
      </c>
      <c r="D92" s="5" t="str">
        <f>IFERROR(__xludf.DUMMYFUNCTION("GOOGLETRANSLATE(A92,""en"",""hi"")"),"सार्वजनिक पेंशन योजनाओं को जीवाश्म ईंधन कंपनियों में निवेश नहीं करना चाहिए।")</f>
        <v>सार्वजनिक पेंशन योजनाओं को जीवाश्म ईंधन कंपनियों में निवेश नहीं करना चाहिए।</v>
      </c>
      <c r="E92" s="5" t="str">
        <f>IFERROR(__xludf.DUMMYFUNCTION("GOOGLETRANSLATE(A92,""en"",""zh-CN"")"),"公共养老金不应该投资化石燃料公司。")</f>
        <v>公共养老金不应该投资化石燃料公司。</v>
      </c>
      <c r="F92" s="5" t="str">
        <f>IFERROR(__xludf.DUMMYFUNCTION("GOOGLETRANSLATE(A92,""en"",""fr"")"),"Les caisses de retraite publiques ne devraient pas investir dans les entreprises d'énergies fossiles.")</f>
        <v>Les caisses de retraite publiques ne devraient pas investir dans les entreprises d'énergies fossiles.</v>
      </c>
      <c r="G92" s="5" t="str">
        <f>IFERROR(__xludf.DUMMYFUNCTION("GOOGLETRANSLATE(A92,""en"",""ru"")"),"Государственным пенсионным фондам не следует инвестировать в компании, занимающиеся ископаемым топливом.")</f>
        <v>Государственным пенсионным фондам не следует инвестировать в компании, занимающиеся ископаемым топливом.</v>
      </c>
      <c r="H92" s="5" t="str">
        <f>IFERROR(__xludf.DUMMYFUNCTION("GOOGLETRANSLATE(A92,""en"",""ar"")"),"لا ينبغي لصناديق التقاعد العامة أن تستثمر في شركات الوقود الأحفوري.")</f>
        <v>لا ينبغي لصناديق التقاعد العامة أن تستثمر في شركات الوقود الأحفوري.</v>
      </c>
      <c r="I92" s="5" t="str">
        <f>IFERROR(__xludf.DUMMYFUNCTION("GOOGLETRANSLATE(A92,""en"",""fa"")"),"صندوق‌های بازنشستگی عمومی نباید در شرکت‌های سوخت فسیلی سرمایه‌گذاری کنند.")</f>
        <v>صندوق‌های بازنشستگی عمومی نباید در شرکت‌های سوخت فسیلی سرمایه‌گذاری کنند.</v>
      </c>
      <c r="J92" s="5" t="str">
        <f>IFERROR(__xludf.DUMMYFUNCTION("GOOGLETRANSLATE(A92,""en"",""am"")"),"የመንግስት ጡረታዎች በቅሪተ አካል ነዳጅ ኩባንያዎች ላይ ኢንቨስት ማድረግ የለባቸውም።")</f>
        <v>የመንግስት ጡረታዎች በቅሪተ አካል ነዳጅ ኩባንያዎች ላይ ኢንቨስት ማድረግ የለባቸውም።</v>
      </c>
      <c r="K92" s="5" t="str">
        <f>IFERROR(__xludf.DUMMYFUNCTION("GOOGLETRANSLATE(A92,""en"",""es"")"),"Los fondos de pensiones públicos no deberían invertir en empresas de combustibles fósiles.")</f>
        <v>Los fondos de pensiones públicos no deberían invertir en empresas de combustibles fósiles.</v>
      </c>
      <c r="L92" s="5" t="str">
        <f>IFERROR(__xludf.DUMMYFUNCTION("GOOGLETRANSLATE(A92,""en"",""es-419"")"),"Los fondos de pensiones públicos no deberían invertir en empresas de combustibles fósiles.")</f>
        <v>Los fondos de pensiones públicos no deberían invertir en empresas de combustibles fósiles.</v>
      </c>
    </row>
    <row r="93">
      <c r="A93" s="4" t="s">
        <v>112</v>
      </c>
      <c r="B93" s="4" t="s">
        <v>96</v>
      </c>
      <c r="C93" s="4" t="s">
        <v>32</v>
      </c>
      <c r="D93" s="5" t="str">
        <f>IFERROR(__xludf.DUMMYFUNCTION("GOOGLETRANSLATE(A93,""en"",""hi"")"),"स्थानीय निकायों को यह तय करना चाहिए कि फ्रैकिंग की अनुमति दी जानी चाहिए या नहीं।")</f>
        <v>स्थानीय निकायों को यह तय करना चाहिए कि फ्रैकिंग की अनुमति दी जानी चाहिए या नहीं।</v>
      </c>
      <c r="E93" s="5" t="str">
        <f>IFERROR(__xludf.DUMMYFUNCTION("GOOGLETRANSLATE(A93,""en"",""zh-CN"")"),"是否允许水力压裂法开采应由地方政府决定。")</f>
        <v>是否允许水力压裂法开采应由地方政府决定。</v>
      </c>
      <c r="F93" s="5" t="str">
        <f>IFERROR(__xludf.DUMMYFUNCTION("GOOGLETRANSLATE(A93,""en"",""fr"")"),"Il appartient aux autorités locales de décider si la fracturation hydraulique est autorisée.")</f>
        <v>Il appartient aux autorités locales de décider si la fracturation hydraulique est autorisée.</v>
      </c>
      <c r="G93" s="5" t="str">
        <f>IFERROR(__xludf.DUMMYFUNCTION("GOOGLETRANSLATE(A93,""en"",""ru"")"),"Решение о разрешении гидроразрыва пласта должны принимать местные власти.")</f>
        <v>Решение о разрешении гидроразрыва пласта должны принимать местные власти.</v>
      </c>
      <c r="H93" s="5" t="str">
        <f>IFERROR(__xludf.DUMMYFUNCTION("GOOGLETRANSLATE(A93,""en"",""ar"")"),"ينبغي للمناطق المحلية أن تقرر ما إذا كان التكسير الهيدروليكي مسموحاً به أم لا.")</f>
        <v>ينبغي للمناطق المحلية أن تقرر ما إذا كان التكسير الهيدروليكي مسموحاً به أم لا.</v>
      </c>
      <c r="I93" s="5" t="str">
        <f>IFERROR(__xludf.DUMMYFUNCTION("GOOGLETRANSLATE(A93,""en"",""fa"")"),"مناطق محلی باید تصمیم بگیرند که آیا فرکینگ مجاز است یا خیر.")</f>
        <v>مناطق محلی باید تصمیم بگیرند که آیا فرکینگ مجاز است یا خیر.</v>
      </c>
      <c r="J93" s="5" t="str">
        <f>IFERROR(__xludf.DUMMYFUNCTION("GOOGLETRANSLATE(A93,""en"",""am"")"),"የአካባቢው አካባቢዎች ፍራኪንግ ይፈቀዳል ወይ የሚለውን መወሰን አለባቸው።")</f>
        <v>የአካባቢው አካባቢዎች ፍራኪንግ ይፈቀዳል ወይ የሚለውን መወሰን አለባቸው።</v>
      </c>
      <c r="K93" s="5" t="str">
        <f>IFERROR(__xludf.DUMMYFUNCTION("GOOGLETRANSLATE(A93,""en"",""es"")"),"Las autoridades locales deben decidir si permiten la fracturación hidráulica.")</f>
        <v>Las autoridades locales deben decidir si permiten la fracturación hidráulica.</v>
      </c>
      <c r="L93" s="5" t="str">
        <f>IFERROR(__xludf.DUMMYFUNCTION("GOOGLETRANSLATE(A93,""en"",""es-419"")"),"Las autoridades locales deben decidir si permiten la fracturación hidráulica.")</f>
        <v>Las autoridades locales deben decidir si permiten la fracturación hidráulica.</v>
      </c>
    </row>
    <row r="94">
      <c r="A94" s="4" t="s">
        <v>113</v>
      </c>
      <c r="B94" s="4" t="s">
        <v>96</v>
      </c>
      <c r="C94" s="4" t="s">
        <v>32</v>
      </c>
      <c r="D94" s="5" t="str">
        <f>IFERROR(__xludf.DUMMYFUNCTION("GOOGLETRANSLATE(A94,""en"",""hi"")"),"हमारे पर्यावरण की रक्षा के लिए अधिक सशक्त जलवायु नीतियों की आवश्यकता है।")</f>
        <v>हमारे पर्यावरण की रक्षा के लिए अधिक सशक्त जलवायु नीतियों की आवश्यकता है।</v>
      </c>
      <c r="E94" s="5" t="str">
        <f>IFERROR(__xludf.DUMMYFUNCTION("GOOGLETRANSLATE(A94,""en"",""zh-CN"")"),"我们需要更有力的气候政策来保护我们的环境。")</f>
        <v>我们需要更有力的气候政策来保护我们的环境。</v>
      </c>
      <c r="F94" s="5" t="str">
        <f>IFERROR(__xludf.DUMMYFUNCTION("GOOGLETRANSLATE(A94,""en"",""fr"")"),"Des politiques climatiques plus ambitieuses sont nécessaires pour protéger notre environnement.")</f>
        <v>Des politiques climatiques plus ambitieuses sont nécessaires pour protéger notre environnement.</v>
      </c>
      <c r="G94" s="5" t="str">
        <f>IFERROR(__xludf.DUMMYFUNCTION("GOOGLETRANSLATE(A94,""en"",""ru"")"),"Для защиты окружающей среды необходимы более жесткие меры климатической политики.")</f>
        <v>Для защиты окружающей среды необходимы более жесткие меры климатической политики.</v>
      </c>
      <c r="H94" s="5" t="str">
        <f>IFERROR(__xludf.DUMMYFUNCTION("GOOGLETRANSLATE(A94,""en"",""ar"")"),"هناك حاجة إلى سياسات مناخية أكثر صرامة لحماية بيئتنا.")</f>
        <v>هناك حاجة إلى سياسات مناخية أكثر صرامة لحماية بيئتنا.</v>
      </c>
      <c r="I94" s="5" t="str">
        <f>IFERROR(__xludf.DUMMYFUNCTION("GOOGLETRANSLATE(A94,""en"",""fa"")"),"برای حفاظت از محیط زیست، سیاست‌های اقلیمی قوی‌تری مورد نیاز است.")</f>
        <v>برای حفاظت از محیط زیست، سیاست‌های اقلیمی قوی‌تری مورد نیاز است.</v>
      </c>
      <c r="J94" s="5" t="str">
        <f>IFERROR(__xludf.DUMMYFUNCTION("GOOGLETRANSLATE(A94,""en"",""am"")"),"አካባቢያችንን ለመጠበቅ ጠንካራ የአየር ንብረት ፖሊሲዎች ያስፈልጋሉ።")</f>
        <v>አካባቢያችንን ለመጠበቅ ጠንካራ የአየር ንብረት ፖሊሲዎች ያስፈልጋሉ።</v>
      </c>
      <c r="K94" s="5" t="str">
        <f>IFERROR(__xludf.DUMMYFUNCTION("GOOGLETRANSLATE(A94,""en"",""es"")"),"Se necesitan políticas climáticas más contundentes para proteger nuestro medio ambiente.")</f>
        <v>Se necesitan políticas climáticas más contundentes para proteger nuestro medio ambiente.</v>
      </c>
      <c r="L94" s="5" t="str">
        <f>IFERROR(__xludf.DUMMYFUNCTION("GOOGLETRANSLATE(A94,""en"",""es-419"")"),"Se necesitan políticas climáticas más contundentes para proteger nuestro medio ambiente.")</f>
        <v>Se necesitan políticas climáticas más contundentes para proteger nuestro medio ambiente.</v>
      </c>
    </row>
    <row r="95">
      <c r="A95" s="4" t="s">
        <v>114</v>
      </c>
      <c r="B95" s="4" t="s">
        <v>96</v>
      </c>
      <c r="C95" s="4" t="s">
        <v>32</v>
      </c>
      <c r="D95" s="5" t="str">
        <f>IFERROR(__xludf.DUMMYFUNCTION("GOOGLETRANSLATE(A95,""en"",""hi"")"),"सरकारों को जीवाश्म ईंधन पर दी जाने वाली सब्सिडी को तुरंत बंद कर देना चाहिए।")</f>
        <v>सरकारों को जीवाश्म ईंधन पर दी जाने वाली सब्सिडी को तुरंत बंद कर देना चाहिए।</v>
      </c>
      <c r="E95" s="5" t="str">
        <f>IFERROR(__xludf.DUMMYFUNCTION("GOOGLETRANSLATE(A95,""en"",""zh-CN"")"),"各国政府现在就应该停止对化石燃料的补贴。")</f>
        <v>各国政府现在就应该停止对化石燃料的补贴。</v>
      </c>
      <c r="F95" s="5" t="str">
        <f>IFERROR(__xludf.DUMMYFUNCTION("GOOGLETRANSLATE(A95,""en"",""fr"")"),"Les gouvernements devraient cesser immédiatement de subventionner les combustibles fossiles.")</f>
        <v>Les gouvernements devraient cesser immédiatement de subventionner les combustibles fossiles.</v>
      </c>
      <c r="G95" s="5" t="str">
        <f>IFERROR(__xludf.DUMMYFUNCTION("GOOGLETRANSLATE(A95,""en"",""ru"")"),"Правительствам следует немедленно прекратить субсидирование ископаемого топлива.")</f>
        <v>Правительствам следует немедленно прекратить субсидирование ископаемого топлива.</v>
      </c>
      <c r="H95" s="5" t="str">
        <f>IFERROR(__xludf.DUMMYFUNCTION("GOOGLETRANSLATE(A95,""en"",""ar"")"),"ينبغي على الحكومات التوقف عن دعم الوقود الأحفوري الآن.")</f>
        <v>ينبغي على الحكومات التوقف عن دعم الوقود الأحفوري الآن.</v>
      </c>
      <c r="I95" s="5" t="str">
        <f>IFERROR(__xludf.DUMMYFUNCTION("GOOGLETRANSLATE(A95,""en"",""fa"")"),"دولت‌ها باید همین حالا یارانه سوخت‌های فسیلی را متوقف کنند.")</f>
        <v>دولت‌ها باید همین حالا یارانه سوخت‌های فسیلی را متوقف کنند.</v>
      </c>
      <c r="J95" s="5" t="str">
        <f>IFERROR(__xludf.DUMMYFUNCTION("GOOGLETRANSLATE(A95,""en"",""am"")"),"መንግስታት የቅሪተ አካል ነዳጅ ድጎማ አሁኑኑ ማቆም አለባቸው።")</f>
        <v>መንግስታት የቅሪተ አካል ነዳጅ ድጎማ አሁኑኑ ማቆም አለባቸው።</v>
      </c>
      <c r="K95" s="5" t="str">
        <f>IFERROR(__xludf.DUMMYFUNCTION("GOOGLETRANSLATE(A95,""en"",""es"")"),"Los gobiernos deberían dejar de subvencionar los combustibles fósiles ya mismo.")</f>
        <v>Los gobiernos deberían dejar de subvencionar los combustibles fósiles ya mismo.</v>
      </c>
      <c r="L95" s="5" t="str">
        <f>IFERROR(__xludf.DUMMYFUNCTION("GOOGLETRANSLATE(A95,""en"",""es-419"")"),"Los gobiernos deberían dejar de subvencionar los combustibles fósiles ya mismo.")</f>
        <v>Los gobiernos deberían dejar de subvencionar los combustibles fósiles ya mismo.</v>
      </c>
    </row>
    <row r="96">
      <c r="A96" s="4" t="s">
        <v>115</v>
      </c>
      <c r="B96" s="4" t="s">
        <v>96</v>
      </c>
      <c r="C96" s="4" t="s">
        <v>32</v>
      </c>
      <c r="D96" s="5" t="str">
        <f>IFERROR(__xludf.DUMMYFUNCTION("GOOGLETRANSLATE(A96,""en"",""hi"")"),"हमें सार्वजनिक भूमि पर जीवाश्म ईंधन के खनन पर प्रतिबंध लगा देना चाहिए।")</f>
        <v>हमें सार्वजनिक भूमि पर जीवाश्म ईंधन के खनन पर प्रतिबंध लगा देना चाहिए।</v>
      </c>
      <c r="E96" s="5" t="str">
        <f>IFERROR(__xludf.DUMMYFUNCTION("GOOGLETRANSLATE(A96,""en"",""zh-CN"")"),"我们应该禁止在公共土地上开采化石燃料。")</f>
        <v>我们应该禁止在公共土地上开采化石燃料。</v>
      </c>
      <c r="F96" s="5" t="str">
        <f>IFERROR(__xludf.DUMMYFUNCTION("GOOGLETRANSLATE(A96,""en"",""fr"")"),"Nous devrions interdire l'extraction de combustibles fossiles sur les terres publiques.")</f>
        <v>Nous devrions interdire l'extraction de combustibles fossiles sur les terres publiques.</v>
      </c>
      <c r="G96" s="5" t="str">
        <f>IFERROR(__xludf.DUMMYFUNCTION("GOOGLETRANSLATE(A96,""en"",""ru"")"),"Необходимо запретить добычу ископаемого топлива на государственных землях.")</f>
        <v>Необходимо запретить добычу ископаемого топлива на государственных землях.</v>
      </c>
      <c r="H96" s="5" t="str">
        <f>IFERROR(__xludf.DUMMYFUNCTION("GOOGLETRANSLATE(A96,""en"",""ar"")"),"ينبغي علينا حظر استخراج الوقود الأحفوري في الأراضي العامة.")</f>
        <v>ينبغي علينا حظر استخراج الوقود الأحفوري في الأراضي العامة.</v>
      </c>
      <c r="I96" s="5" t="str">
        <f>IFERROR(__xludf.DUMMYFUNCTION("GOOGLETRANSLATE(A96,""en"",""fa"")"),"ما باید استخراج سوخت‌های فسیلی را در زمین‌های عمومی ممنوع کنیم.")</f>
        <v>ما باید استخراج سوخت‌های فسیلی را در زمین‌های عمومی ممنوع کنیم.</v>
      </c>
      <c r="J96" s="5" t="str">
        <f>IFERROR(__xludf.DUMMYFUNCTION("GOOGLETRANSLATE(A96,""en"",""am"")"),"በሕዝብ መሬቶች ላይ የቅሪተ አካል ነዳጅ ማዕድን ማውጣትን መከልከል አለብን።")</f>
        <v>በሕዝብ መሬቶች ላይ የቅሪተ አካል ነዳጅ ማዕድን ማውጣትን መከልከል አለብን።</v>
      </c>
      <c r="K96" s="5" t="str">
        <f>IFERROR(__xludf.DUMMYFUNCTION("GOOGLETRANSLATE(A96,""en"",""es"")"),"Deberíamos prohibir la extracción de combustibles fósiles en tierras públicas.")</f>
        <v>Deberíamos prohibir la extracción de combustibles fósiles en tierras públicas.</v>
      </c>
      <c r="L96" s="5" t="str">
        <f>IFERROR(__xludf.DUMMYFUNCTION("GOOGLETRANSLATE(A96,""en"",""es-419"")"),"Deberíamos prohibir la extracción de combustibles fósiles en tierras públicas.")</f>
        <v>Deberíamos prohibir la extracción de combustibles fósiles en tierras públicas.</v>
      </c>
    </row>
    <row r="97">
      <c r="A97" s="4" t="s">
        <v>116</v>
      </c>
      <c r="B97" s="4" t="s">
        <v>96</v>
      </c>
      <c r="C97" s="4" t="s">
        <v>38</v>
      </c>
      <c r="D97" s="5" t="str">
        <f>IFERROR(__xludf.DUMMYFUNCTION("GOOGLETRANSLATE(A97,""en"",""hi"")"),"भूमि मालिकों के अधिकार पर्यावरण की रक्षा में सहायक होते हैं।")</f>
        <v>भूमि मालिकों के अधिकार पर्यावरण की रक्षा में सहायक होते हैं।</v>
      </c>
      <c r="E97" s="5" t="str">
        <f>IFERROR(__xludf.DUMMYFUNCTION("GOOGLETRANSLATE(A97,""en"",""zh-CN"")"),"土地所有者的权利有助于保护环境。")</f>
        <v>土地所有者的权利有助于保护环境。</v>
      </c>
      <c r="F97" s="5" t="str">
        <f>IFERROR(__xludf.DUMMYFUNCTION("GOOGLETRANSLATE(A97,""en"",""fr"")"),"Les droits des propriétaires fonciers contribuent à protéger l'environnement.")</f>
        <v>Les droits des propriétaires fonciers contribuent à protéger l'environnement.</v>
      </c>
      <c r="G97" s="5" t="str">
        <f>IFERROR(__xludf.DUMMYFUNCTION("GOOGLETRANSLATE(A97,""en"",""ru"")"),"Права землевладельцев помогают защищать окружающую среду.")</f>
        <v>Права землевладельцев помогают защищать окружающую среду.</v>
      </c>
      <c r="H97" s="5" t="str">
        <f>IFERROR(__xludf.DUMMYFUNCTION("GOOGLETRANSLATE(A97,""en"",""ar"")"),"تساهم حقوق ملاك الأراضي في حماية البيئة.")</f>
        <v>تساهم حقوق ملاك الأراضي في حماية البيئة.</v>
      </c>
      <c r="I97" s="5" t="str">
        <f>IFERROR(__xludf.DUMMYFUNCTION("GOOGLETRANSLATE(A97,""en"",""fa"")"),"حقوق مالکان زمین به حفاظت از محیط زیست کمک می‌کند.")</f>
        <v>حقوق مالکان زمین به حفاظت از محیط زیست کمک می‌کند.</v>
      </c>
      <c r="J97" s="5" t="str">
        <f>IFERROR(__xludf.DUMMYFUNCTION("GOOGLETRANSLATE(A97,""en"",""am"")"),"የመሬት ባለቤቶች መብቶች አካባቢን ለመጠበቅ ይረዳሉ።")</f>
        <v>የመሬት ባለቤቶች መብቶች አካባቢን ለመጠበቅ ይረዳሉ።</v>
      </c>
      <c r="K97" s="5" t="str">
        <f>IFERROR(__xludf.DUMMYFUNCTION("GOOGLETRANSLATE(A97,""en"",""es"")"),"Los derechos de los propietarios de tierras ayudan a proteger el medio ambiente.")</f>
        <v>Los derechos de los propietarios de tierras ayudan a proteger el medio ambiente.</v>
      </c>
      <c r="L97" s="5" t="str">
        <f>IFERROR(__xludf.DUMMYFUNCTION("GOOGLETRANSLATE(A97,""en"",""es-419"")"),"Los derechos de los propietarios de tierras ayudan a proteger el medio ambiente.")</f>
        <v>Los derechos de los propietarios de tierras ayudan a proteger el medio ambiente.</v>
      </c>
    </row>
    <row r="98">
      <c r="A98" s="4" t="s">
        <v>117</v>
      </c>
      <c r="B98" s="4" t="s">
        <v>96</v>
      </c>
      <c r="C98" s="4" t="s">
        <v>38</v>
      </c>
      <c r="D98" s="5" t="str">
        <f>IFERROR(__xludf.DUMMYFUNCTION("GOOGLETRANSLATE(A98,""en"",""hi"")"),"पर्यावरण की प्रगति के लिए कठोर नियमों की तुलना में प्रौद्योगिकी बेहतर है।")</f>
        <v>पर्यावरण की प्रगति के लिए कठोर नियमों की तुलना में प्रौद्योगिकी बेहतर है।</v>
      </c>
      <c r="E98" s="5" t="str">
        <f>IFERROR(__xludf.DUMMYFUNCTION("GOOGLETRANSLATE(A98,""en"",""zh-CN"")"),"为了环境进步，科技比严格的规则更有效。")</f>
        <v>为了环境进步，科技比严格的规则更有效。</v>
      </c>
      <c r="F98" s="5" t="str">
        <f>IFERROR(__xludf.DUMMYFUNCTION("GOOGLETRANSLATE(A98,""en"",""fr"")"),"La technologie est préférable aux règles strictes pour le progrès environnemental.")</f>
        <v>La technologie est préférable aux règles strictes pour le progrès environnemental.</v>
      </c>
      <c r="G98" s="5" t="str">
        <f>IFERROR(__xludf.DUMMYFUNCTION("GOOGLETRANSLATE(A98,""en"",""ru"")"),"Технологии лучше строгих правил для улучшения состояния окружающей среды.")</f>
        <v>Технологии лучше строгих правил для улучшения состояния окружающей среды.</v>
      </c>
      <c r="H98" s="5" t="str">
        <f>IFERROR(__xludf.DUMMYFUNCTION("GOOGLETRANSLATE(A98,""en"",""ar"")"),"التكنولوجيا أفضل من القواعد الصارمة لتحقيق التقدم البيئي.")</f>
        <v>التكنولوجيا أفضل من القواعد الصارمة لتحقيق التقدم البيئي.</v>
      </c>
      <c r="I98" s="5" t="str">
        <f>IFERROR(__xludf.DUMMYFUNCTION("GOOGLETRANSLATE(A98,""en"",""fa"")"),"برای پیشرفت زیست‌محیطی، فناوری بهتر از قوانین سختگیرانه است.")</f>
        <v>برای پیشرفت زیست‌محیطی، فناوری بهتر از قوانین سختگیرانه است.</v>
      </c>
      <c r="J98" s="5" t="str">
        <f>IFERROR(__xludf.DUMMYFUNCTION("GOOGLETRANSLATE(A98,""en"",""am"")"),"ቴክኖሎጂ ለአካባቢ እድገት ከጥብቅ ህጎች የተሻለ ነው።")</f>
        <v>ቴክኖሎጂ ለአካባቢ እድገት ከጥብቅ ህጎች የተሻለ ነው።</v>
      </c>
      <c r="K98" s="5" t="str">
        <f>IFERROR(__xludf.DUMMYFUNCTION("GOOGLETRANSLATE(A98,""en"",""es"")"),"La tecnología es mejor que las normas estrictas para el progreso medioambiental.")</f>
        <v>La tecnología es mejor que las normas estrictas para el progreso medioambiental.</v>
      </c>
      <c r="L98" s="5" t="str">
        <f>IFERROR(__xludf.DUMMYFUNCTION("GOOGLETRANSLATE(A98,""en"",""es-419"")"),"La tecnología es mejor que las normas estrictas para el progreso medioambiental.")</f>
        <v>La tecnología es mejor que las normas estrictas para el progreso medioambiental.</v>
      </c>
    </row>
    <row r="99">
      <c r="A99" s="4" t="s">
        <v>118</v>
      </c>
      <c r="B99" s="4" t="s">
        <v>96</v>
      </c>
      <c r="C99" s="4" t="s">
        <v>38</v>
      </c>
      <c r="D99" s="5" t="str">
        <f>IFERROR(__xludf.DUMMYFUNCTION("GOOGLETRANSLATE(A99,""en"",""hi"")"),"कार्बन टैक्स को अन्य कर कटौती के माध्यम से संतुलित किया जाना चाहिए।")</f>
        <v>कार्बन टैक्स को अन्य कर कटौती के माध्यम से संतुलित किया जाना चाहिए।</v>
      </c>
      <c r="E99" s="5" t="str">
        <f>IFERROR(__xludf.DUMMYFUNCTION("GOOGLETRANSLATE(A99,""en"",""zh-CN"")"),"碳税应该通过其他减税措施来平衡。")</f>
        <v>碳税应该通过其他减税措施来平衡。</v>
      </c>
      <c r="F99" s="5" t="str">
        <f>IFERROR(__xludf.DUMMYFUNCTION("GOOGLETRANSLATE(A99,""en"",""fr"")"),"Les taxes sur le carbone devraient être compensées par d'autres réductions d'impôts.")</f>
        <v>Les taxes sur le carbone devraient être compensées par d'autres réductions d'impôts.</v>
      </c>
      <c r="G99" s="5" t="str">
        <f>IFERROR(__xludf.DUMMYFUNCTION("GOOGLETRANSLATE(A99,""en"",""ru"")"),"Углеродные налоги следует уравновешивать другими налоговыми льготами.")</f>
        <v>Углеродные налоги следует уравновешивать другими налоговыми льготами.</v>
      </c>
      <c r="H99" s="5" t="str">
        <f>IFERROR(__xludf.DUMMYFUNCTION("GOOGLETRANSLATE(A99,""en"",""ar"")"),"ينبغي موازنة ضرائب الكربون بتخفيضات ضريبية أخرى.")</f>
        <v>ينبغي موازنة ضرائب الكربون بتخفيضات ضريبية أخرى.</v>
      </c>
      <c r="I99" s="5" t="str">
        <f>IFERROR(__xludf.DUMMYFUNCTION("GOOGLETRANSLATE(A99,""en"",""fa"")"),"مالیات کربن باید با سایر کاهش‌های مالیاتی متعادل شود.")</f>
        <v>مالیات کربن باید با سایر کاهش‌های مالیاتی متعادل شود.</v>
      </c>
      <c r="J99" s="5" t="str">
        <f>IFERROR(__xludf.DUMMYFUNCTION("GOOGLETRANSLATE(A99,""en"",""am"")"),"የካርቦን ግብሮች በሌሎች የግብር ቅነሳዎች መመጣጠን አለባቸው።")</f>
        <v>የካርቦን ግብሮች በሌሎች የግብር ቅነሳዎች መመጣጠን አለባቸው።</v>
      </c>
      <c r="K99" s="5" t="str">
        <f>IFERROR(__xludf.DUMMYFUNCTION("GOOGLETRANSLATE(A99,""en"",""es"")"),"Los impuestos al carbono deberían compensarse con otras reducciones de impuestos.")</f>
        <v>Los impuestos al carbono deberían compensarse con otras reducciones de impuestos.</v>
      </c>
      <c r="L99" s="5" t="str">
        <f>IFERROR(__xludf.DUMMYFUNCTION("GOOGLETRANSLATE(A99,""en"",""es-419"")"),"Los impuestos al carbono deberían compensarse con otras reducciones de impuestos.")</f>
        <v>Los impuestos al carbono deberían compensarse con otras reducciones de impuestos.</v>
      </c>
    </row>
    <row r="100">
      <c r="A100" s="4" t="s">
        <v>119</v>
      </c>
      <c r="B100" s="4" t="s">
        <v>96</v>
      </c>
      <c r="C100" s="4" t="s">
        <v>38</v>
      </c>
      <c r="D100" s="5" t="str">
        <f>IFERROR(__xludf.DUMMYFUNCTION("GOOGLETRANSLATE(A100,""en"",""hi"")"),"पर्यावरण संबंधी नवाचार के लिए बाजार आधारित समाधान सर्वोत्तम हैं।")</f>
        <v>पर्यावरण संबंधी नवाचार के लिए बाजार आधारित समाधान सर्वोत्तम हैं।</v>
      </c>
      <c r="E100" s="5" t="str">
        <f>IFERROR(__xludf.DUMMYFUNCTION("GOOGLETRANSLATE(A100,""en"",""zh-CN"")"),"以市场为导向的解决方案最适合环境创新。")</f>
        <v>以市场为导向的解决方案最适合环境创新。</v>
      </c>
      <c r="F100" s="5" t="str">
        <f>IFERROR(__xludf.DUMMYFUNCTION("GOOGLETRANSLATE(A100,""en"",""fr"")"),"Les solutions fondées sur le marché sont les plus adaptées à l'innovation environnementale.")</f>
        <v>Les solutions fondées sur le marché sont les plus adaptées à l'innovation environnementale.</v>
      </c>
      <c r="G100" s="5" t="str">
        <f>IFERROR(__xludf.DUMMYFUNCTION("GOOGLETRANSLATE(A100,""en"",""ru"")"),"Для экологических инноваций лучше всего подходят рыночные решения.")</f>
        <v>Для экологических инноваций лучше всего подходят рыночные решения.</v>
      </c>
      <c r="H100" s="5" t="str">
        <f>IFERROR(__xludf.DUMMYFUNCTION("GOOGLETRANSLATE(A100,""en"",""ar"")"),"تُعد الحلول القائمة على السوق هي الأفضل للابتكار البيئي.")</f>
        <v>تُعد الحلول القائمة على السوق هي الأفضل للابتكار البيئي.</v>
      </c>
      <c r="I100" s="5" t="str">
        <f>IFERROR(__xludf.DUMMYFUNCTION("GOOGLETRANSLATE(A100,""en"",""fa"")"),"راه‌حل‌های مبتنی بر بازار بهترین گزینه برای نوآوری زیست‌محیطی هستند.")</f>
        <v>راه‌حل‌های مبتنی بر بازار بهترین گزینه برای نوآوری زیست‌محیطی هستند.</v>
      </c>
      <c r="J100" s="5" t="str">
        <f>IFERROR(__xludf.DUMMYFUNCTION("GOOGLETRANSLATE(A100,""en"",""am"")"),"በገበያ ላይ የተመሰረቱ መፍትሄዎች ለአካባቢ ፈጠራ በጣም የተሻሉ ናቸው።")</f>
        <v>በገበያ ላይ የተመሰረቱ መፍትሄዎች ለአካባቢ ፈጠራ በጣም የተሻሉ ናቸው።</v>
      </c>
      <c r="K100" s="5" t="str">
        <f>IFERROR(__xludf.DUMMYFUNCTION("GOOGLETRANSLATE(A100,""en"",""es"")"),"Las soluciones basadas en el mercado son las mejores para la innovación medioambiental.")</f>
        <v>Las soluciones basadas en el mercado son las mejores para la innovación medioambiental.</v>
      </c>
      <c r="L100" s="5" t="str">
        <f>IFERROR(__xludf.DUMMYFUNCTION("GOOGLETRANSLATE(A100,""en"",""es-419"")"),"Las soluciones basadas en el mercado son las mejores para la innovación medioambiental.")</f>
        <v>Las soluciones basadas en el mercado son las mejores para la innovación medioambiental.</v>
      </c>
    </row>
    <row r="101">
      <c r="A101" s="4" t="s">
        <v>120</v>
      </c>
      <c r="B101" s="4" t="s">
        <v>96</v>
      </c>
      <c r="C101" s="4" t="s">
        <v>38</v>
      </c>
      <c r="D101" s="5" t="str">
        <f>IFERROR(__xludf.DUMMYFUNCTION("GOOGLETRANSLATE(A101,""en"",""hi"")"),"पर्यावरण संबंधी समझौते स्वैच्छिक होने चाहिए और राष्ट्रीय अधिकारों का सम्मान करना चाहिए।")</f>
        <v>पर्यावरण संबंधी समझौते स्वैच्छिक होने चाहिए और राष्ट्रीय अधिकारों का सम्मान करना चाहिए।</v>
      </c>
      <c r="E101" s="5" t="str">
        <f>IFERROR(__xludf.DUMMYFUNCTION("GOOGLETRANSLATE(A101,""en"",""zh-CN"")"),"环境协议应当是自愿的，并且尊重各国的权利。")</f>
        <v>环境协议应当是自愿的，并且尊重各国的权利。</v>
      </c>
      <c r="F101" s="5" t="str">
        <f>IFERROR(__xludf.DUMMYFUNCTION("GOOGLETRANSLATE(A101,""en"",""fr"")"),"Les accords environnementaux devraient être volontaires et respecter les droits nationaux.")</f>
        <v>Les accords environnementaux devraient être volontaires et respecter les droits nationaux.</v>
      </c>
      <c r="G101" s="5" t="str">
        <f>IFERROR(__xludf.DUMMYFUNCTION("GOOGLETRANSLATE(A101,""en"",""ru"")"),"Экологические соглашения должны быть добровольными и уважать национальные права.")</f>
        <v>Экологические соглашения должны быть добровольными и уважать национальные права.</v>
      </c>
      <c r="H101" s="5" t="str">
        <f>IFERROR(__xludf.DUMMYFUNCTION("GOOGLETRANSLATE(A101,""en"",""ar"")"),"ينبغي أن تكون الاتفاقيات البيئية طوعية وأن تحترم الحقوق الوطنية.")</f>
        <v>ينبغي أن تكون الاتفاقيات البيئية طوعية وأن تحترم الحقوق الوطنية.</v>
      </c>
      <c r="I101" s="5" t="str">
        <f>IFERROR(__xludf.DUMMYFUNCTION("GOOGLETRANSLATE(A101,""en"",""fa"")"),"توافقات زیست‌محیطی باید داوطلبانه باشند و به حقوق ملی احترام بگذارند.")</f>
        <v>توافقات زیست‌محیطی باید داوطلبانه باشند و به حقوق ملی احترام بگذارند.</v>
      </c>
      <c r="J101" s="5" t="str">
        <f>IFERROR(__xludf.DUMMYFUNCTION("GOOGLETRANSLATE(A101,""en"",""am"")"),"የአካባቢ ስምምነቶች በፈቃደኝነት ላይ የተመሰረቱ እና ብሔራዊ መብቶችን የሚያከብሩ መሆን አለባቸው።")</f>
        <v>የአካባቢ ስምምነቶች በፈቃደኝነት ላይ የተመሰረቱ እና ብሔራዊ መብቶችን የሚያከብሩ መሆን አለባቸው።</v>
      </c>
      <c r="K101" s="5" t="str">
        <f>IFERROR(__xludf.DUMMYFUNCTION("GOOGLETRANSLATE(A101,""en"",""es"")"),"Los acuerdos medioambientales deben ser voluntarios y respetar los derechos nacionales.")</f>
        <v>Los acuerdos medioambientales deben ser voluntarios y respetar los derechos nacionales.</v>
      </c>
      <c r="L101" s="5" t="str">
        <f>IFERROR(__xludf.DUMMYFUNCTION("GOOGLETRANSLATE(A101,""en"",""es-419"")"),"Los acuerdos medioambientales deben ser voluntarios y respetar los derechos nacionales.")</f>
        <v>Los acuerdos medioambientales deben ser voluntarios y respetar los derechos nacionales.</v>
      </c>
    </row>
    <row r="102">
      <c r="A102" s="4" t="s">
        <v>121</v>
      </c>
      <c r="B102" s="4" t="s">
        <v>122</v>
      </c>
      <c r="C102" s="4" t="s">
        <v>14</v>
      </c>
      <c r="D102" s="5" t="str">
        <f>IFERROR(__xludf.DUMMYFUNCTION("GOOGLETRANSLATE(A102,""en"",""hi"")"),"सैन्य कार्रवाई से नरसंहार को तभी रोका जाना चाहिए जब कूटनीति विफल हो जाए।")</f>
        <v>सैन्य कार्रवाई से नरसंहार को तभी रोका जाना चाहिए जब कूटनीति विफल हो जाए।</v>
      </c>
      <c r="E102" s="5" t="str">
        <f>IFERROR(__xludf.DUMMYFUNCTION("GOOGLETRANSLATE(A102,""en"",""zh-CN"")"),"只有在外交手段失败后，才能采取军事行动制止种族灭绝。")</f>
        <v>只有在外交手段失败后，才能采取军事行动制止种族灭绝。</v>
      </c>
      <c r="F102" s="5" t="str">
        <f>IFERROR(__xludf.DUMMYFUNCTION("GOOGLETRANSLATE(A102,""en"",""fr"")"),"L'action militaire ne devrait mettre fin au génocide qu'après l'échec de la diplomatie.")</f>
        <v>L'action militaire ne devrait mettre fin au génocide qu'après l'échec de la diplomatie.</v>
      </c>
      <c r="G102" s="5" t="str">
        <f>IFERROR(__xludf.DUMMYFUNCTION("GOOGLETRANSLATE(A102,""en"",""ru"")"),"Военные действия должны остановить геноцид только после того, как дипломатия потерпит неудачу.")</f>
        <v>Военные действия должны остановить геноцид только после того, как дипломатия потерпит неудачу.</v>
      </c>
      <c r="H102" s="5" t="str">
        <f>IFERROR(__xludf.DUMMYFUNCTION("GOOGLETRANSLATE(A102,""en"",""ar"")"),"لا ينبغي للعمل العسكري أن يوقف الإبادة الجماعية إلا بعد فشل الدبلوماسية.")</f>
        <v>لا ينبغي للعمل العسكري أن يوقف الإبادة الجماعية إلا بعد فشل الدبلوماسية.</v>
      </c>
      <c r="I102" s="5" t="str">
        <f>IFERROR(__xludf.DUMMYFUNCTION("GOOGLETRANSLATE(A102,""en"",""fa"")"),"اقدام نظامی تنها باید پس از شکست دیپلماسی، نسل‌کشی را متوقف کند.")</f>
        <v>اقدام نظامی تنها باید پس از شکست دیپلماسی، نسل‌کشی را متوقف کند.</v>
      </c>
      <c r="J102" s="5" t="str">
        <f>IFERROR(__xludf.DUMMYFUNCTION("GOOGLETRANSLATE(A102,""en"",""am"")"),"ወታደራዊ እርምጃ የዘር ማጥፋትን ማስቆም ያለበት ዲፕሎማሲው ከከሸፈ በኋላ ብቻ ነው።")</f>
        <v>ወታደራዊ እርምጃ የዘር ማጥፋትን ማስቆም ያለበት ዲፕሎማሲው ከከሸፈ በኋላ ብቻ ነው።</v>
      </c>
      <c r="K102" s="5" t="str">
        <f>IFERROR(__xludf.DUMMYFUNCTION("GOOGLETRANSLATE(A102,""en"",""es"")"),"La acción militar solo debería detener el genocidio cuando la diplomacia haya fracasado.")</f>
        <v>La acción militar solo debería detener el genocidio cuando la diplomacia haya fracasado.</v>
      </c>
      <c r="L102" s="5" t="str">
        <f>IFERROR(__xludf.DUMMYFUNCTION("GOOGLETRANSLATE(A102,""en"",""es-419"")"),"La acción militar solo debería detener el genocidio cuando la diplomacia haya fracasado.")</f>
        <v>La acción militar solo debería detener el genocidio cuando la diplomacia haya fracasado.</v>
      </c>
    </row>
    <row r="103">
      <c r="A103" s="4" t="s">
        <v>123</v>
      </c>
      <c r="B103" s="4" t="s">
        <v>122</v>
      </c>
      <c r="C103" s="4" t="s">
        <v>14</v>
      </c>
      <c r="D103" s="5" t="str">
        <f>IFERROR(__xludf.DUMMYFUNCTION("GOOGLETRANSLATE(A103,""en"",""hi"")"),"जलवायु परिवर्तन से निपटने के लिए एक वैश्विक हरित नव समझौते की आवश्यकता है।")</f>
        <v>जलवायु परिवर्तन से निपटने के लिए एक वैश्विक हरित नव समझौते की आवश्यकता है।</v>
      </c>
      <c r="E103" s="5" t="str">
        <f>IFERROR(__xludf.DUMMYFUNCTION("GOOGLETRANSLATE(A103,""en"",""zh-CN"")"),"我们需要一项全球绿色新政来应对气候变化。")</f>
        <v>我们需要一项全球绿色新政来应对气候变化。</v>
      </c>
      <c r="F103" s="5" t="str">
        <f>IFERROR(__xludf.DUMMYFUNCTION("GOOGLETRANSLATE(A103,""en"",""fr"")"),"Un pacte vert mondial est nécessaire pour lutter contre le changement climatique.")</f>
        <v>Un pacte vert mondial est nécessaire pour lutter contre le changement climatique.</v>
      </c>
      <c r="G103" s="5" t="str">
        <f>IFERROR(__xludf.DUMMYFUNCTION("GOOGLETRANSLATE(A103,""en"",""ru"")"),"Для борьбы с изменением климата необходим глобальный «Зеленый новый курс».")</f>
        <v>Для борьбы с изменением климата необходим глобальный «Зеленый новый курс».</v>
      </c>
      <c r="H103" s="5" t="str">
        <f>IFERROR(__xludf.DUMMYFUNCTION("GOOGLETRANSLATE(A103,""en"",""ar"")"),"هناك حاجة إلى صفقة خضراء جديدة عالمية لمكافحة تغير المناخ.")</f>
        <v>هناك حاجة إلى صفقة خضراء جديدة عالمية لمكافحة تغير المناخ.</v>
      </c>
      <c r="I103" s="5" t="str">
        <f>IFERROR(__xludf.DUMMYFUNCTION("GOOGLETRANSLATE(A103,""en"",""fa"")"),"برای مبارزه با تغییرات اقلیمی، به یک توافق سبز جدید جهانی نیاز است.")</f>
        <v>برای مبارزه با تغییرات اقلیمی، به یک توافق سبز جدید جهانی نیاز است.</v>
      </c>
      <c r="J103" s="5" t="str">
        <f>IFERROR(__xludf.DUMMYFUNCTION("GOOGLETRANSLATE(A103,""en"",""am"")"),"የአየር ንብረት ለውጥን ለመዋጋት ዓለም አቀፍ አረንጓዴ አዲስ ስምምነት ያስፈልጋል።")</f>
        <v>የአየር ንብረት ለውጥን ለመዋጋት ዓለም አቀፍ አረንጓዴ አዲስ ስምምነት ያስፈልጋል።</v>
      </c>
      <c r="K103" s="5" t="str">
        <f>IFERROR(__xludf.DUMMYFUNCTION("GOOGLETRANSLATE(A103,""en"",""es"")"),"Se necesita un Nuevo Pacto Verde global para combatir el cambio climático.")</f>
        <v>Se necesita un Nuevo Pacto Verde global para combatir el cambio climático.</v>
      </c>
      <c r="L103" s="5" t="str">
        <f>IFERROR(__xludf.DUMMYFUNCTION("GOOGLETRANSLATE(A103,""en"",""es-419"")"),"Se necesita un Nuevo Pacto Verde global para combatir el cambio climático.")</f>
        <v>Se necesita un Nuevo Pacto Verde global para combatir el cambio climático.</v>
      </c>
    </row>
    <row r="104">
      <c r="A104" s="4" t="s">
        <v>124</v>
      </c>
      <c r="B104" s="4" t="s">
        <v>122</v>
      </c>
      <c r="C104" s="4" t="s">
        <v>14</v>
      </c>
      <c r="D104" s="5" t="str">
        <f>IFERROR(__xludf.DUMMYFUNCTION("GOOGLETRANSLATE(A104,""en"",""hi"")"),"देशों के अधिकार हैं लेकिन उन्हें मानवाधिकारों का सम्मान करना चाहिए।")</f>
        <v>देशों के अधिकार हैं लेकिन उन्हें मानवाधिकारों का सम्मान करना चाहिए।</v>
      </c>
      <c r="E104" s="5" t="str">
        <f>IFERROR(__xludf.DUMMYFUNCTION("GOOGLETRANSLATE(A104,""en"",""zh-CN"")"),"各国享有权利，但必须尊重人权。")</f>
        <v>各国享有权利，但必须尊重人权。</v>
      </c>
      <c r="F104" s="5" t="str">
        <f>IFERROR(__xludf.DUMMYFUNCTION("GOOGLETRANSLATE(A104,""en"",""fr"")"),"Les pays ont des droits, mais doivent respecter les droits de l'homme.")</f>
        <v>Les pays ont des droits, mais doivent respecter les droits de l'homme.</v>
      </c>
      <c r="G104" s="5" t="str">
        <f>IFERROR(__xludf.DUMMYFUNCTION("GOOGLETRANSLATE(A104,""en"",""ru"")"),"Страны обладают правами, но обязаны уважать права человека.")</f>
        <v>Страны обладают правами, но обязаны уважать права человека.</v>
      </c>
      <c r="H104" s="5" t="str">
        <f>IFERROR(__xludf.DUMMYFUNCTION("GOOGLETRANSLATE(A104,""en"",""ar"")"),"للدول حقوق، ولكن يجب عليها احترام حقوق الإنسان.")</f>
        <v>للدول حقوق، ولكن يجب عليها احترام حقوق الإنسان.</v>
      </c>
      <c r="I104" s="5" t="str">
        <f>IFERROR(__xludf.DUMMYFUNCTION("GOOGLETRANSLATE(A104,""en"",""fa"")"),"کشورها حقوقی دارند اما باید به حقوق بشر احترام بگذارند.")</f>
        <v>کشورها حقوقی دارند اما باید به حقوق بشر احترام بگذارند.</v>
      </c>
      <c r="J104" s="5" t="str">
        <f>IFERROR(__xludf.DUMMYFUNCTION("GOOGLETRANSLATE(A104,""en"",""am"")"),"አገሮች መብት አላቸው ነገር ግን የሰብአዊ መብቶችን ማክበር አለባቸው።")</f>
        <v>አገሮች መብት አላቸው ነገር ግን የሰብአዊ መብቶችን ማክበር አለባቸው።</v>
      </c>
      <c r="K104" s="5" t="str">
        <f>IFERROR(__xludf.DUMMYFUNCTION("GOOGLETRANSLATE(A104,""en"",""es"")"),"Los países tienen derechos, pero deben respetar los derechos humanos.")</f>
        <v>Los países tienen derechos, pero deben respetar los derechos humanos.</v>
      </c>
      <c r="L104" s="5" t="str">
        <f>IFERROR(__xludf.DUMMYFUNCTION("GOOGLETRANSLATE(A104,""en"",""es-419"")"),"Los países tienen derechos, pero deben respetar los derechos humanos.")</f>
        <v>Los países tienen derechos, pero deben respetar los derechos humanos.</v>
      </c>
    </row>
    <row r="105">
      <c r="A105" s="4" t="s">
        <v>125</v>
      </c>
      <c r="B105" s="4" t="s">
        <v>122</v>
      </c>
      <c r="C105" s="4" t="s">
        <v>14</v>
      </c>
      <c r="D105" s="5" t="str">
        <f>IFERROR(__xludf.DUMMYFUNCTION("GOOGLETRANSLATE(A105,""en"",""hi"")"),"धनी देशों को गरीब देशों में संसाधनों का पुनर्वितरण करना चाहिए।")</f>
        <v>धनी देशों को गरीब देशों में संसाधनों का पुनर्वितरण करना चाहिए।</v>
      </c>
      <c r="E105" s="5" t="str">
        <f>IFERROR(__xludf.DUMMYFUNCTION("GOOGLETRANSLATE(A105,""en"",""zh-CN"")"),"富裕国家应该将资源重新分配给贫穷国家。")</f>
        <v>富裕国家应该将资源重新分配给贫穷国家。</v>
      </c>
      <c r="F105" s="5" t="str">
        <f>IFERROR(__xludf.DUMMYFUNCTION("GOOGLETRANSLATE(A105,""en"",""fr"")"),"Les pays riches devraient redistribuer leurs ressources aux pays plus pauvres.")</f>
        <v>Les pays riches devraient redistribuer leurs ressources aux pays plus pauvres.</v>
      </c>
      <c r="G105" s="5" t="str">
        <f>IFERROR(__xludf.DUMMYFUNCTION("GOOGLETRANSLATE(A105,""en"",""ru"")"),"Богатые страны должны перераспределять ресурсы в пользу более бедных стран.")</f>
        <v>Богатые страны должны перераспределять ресурсы в пользу более бедных стран.</v>
      </c>
      <c r="H105" s="5" t="str">
        <f>IFERROR(__xludf.DUMMYFUNCTION("GOOGLETRANSLATE(A105,""en"",""ar"")"),"ينبغي على الدول الغنية إعادة توزيع الموارد على الدول الفقيرة.")</f>
        <v>ينبغي على الدول الغنية إعادة توزيع الموارد على الدول الفقيرة.</v>
      </c>
      <c r="I105" s="5" t="str">
        <f>IFERROR(__xludf.DUMMYFUNCTION("GOOGLETRANSLATE(A105,""en"",""fa"")"),"کشورهای ثروتمند باید منابع را بین کشورهای فقیرتر توزیع کنند.")</f>
        <v>کشورهای ثروتمند باید منابع را بین کشورهای فقیرتر توزیع کنند.</v>
      </c>
      <c r="J105" s="5" t="str">
        <f>IFERROR(__xludf.DUMMYFUNCTION("GOOGLETRANSLATE(A105,""en"",""am"")"),"ሀብታም አገሮች ለድሃ አገሮች ሀብትን እንደገና ማከፋፈል አለባቸው።")</f>
        <v>ሀብታም አገሮች ለድሃ አገሮች ሀብትን እንደገና ማከፋፈል አለባቸው።</v>
      </c>
      <c r="K105" s="5" t="str">
        <f>IFERROR(__xludf.DUMMYFUNCTION("GOOGLETRANSLATE(A105,""en"",""es"")"),"Las naciones ricas deberían redistribuir sus recursos a las naciones más pobres.")</f>
        <v>Las naciones ricas deberían redistribuir sus recursos a las naciones más pobres.</v>
      </c>
      <c r="L105" s="5" t="str">
        <f>IFERROR(__xludf.DUMMYFUNCTION("GOOGLETRANSLATE(A105,""en"",""es-419"")"),"Las naciones ricas deberían redistribuir sus recursos a las naciones más pobres.")</f>
        <v>Las naciones ricas deberían redistribuir sus recursos a las naciones más pobres.</v>
      </c>
    </row>
    <row r="106">
      <c r="A106" s="4" t="s">
        <v>126</v>
      </c>
      <c r="B106" s="4" t="s">
        <v>122</v>
      </c>
      <c r="C106" s="4" t="s">
        <v>14</v>
      </c>
      <c r="D106" s="5" t="str">
        <f>IFERROR(__xludf.DUMMYFUNCTION("GOOGLETRANSLATE(A106,""en"",""hi"")"),"धनी देशों को गरीब देशों के ऋण माफ कर देने चाहिए।")</f>
        <v>धनी देशों को गरीब देशों के ऋण माफ कर देने चाहिए।</v>
      </c>
      <c r="E106" s="5" t="str">
        <f>IFERROR(__xludf.DUMMYFUNCTION("GOOGLETRANSLATE(A106,""en"",""zh-CN"")"),"富裕国家应该免除贫穷国家的债务。")</f>
        <v>富裕国家应该免除贫穷国家的债务。</v>
      </c>
      <c r="F106" s="5" t="str">
        <f>IFERROR(__xludf.DUMMYFUNCTION("GOOGLETRANSLATE(A106,""en"",""fr"")"),"Les pays riches devraient annuler les dettes des pays pauvres.")</f>
        <v>Les pays riches devraient annuler les dettes des pays pauvres.</v>
      </c>
      <c r="G106" s="5" t="str">
        <f>IFERROR(__xludf.DUMMYFUNCTION("GOOGLETRANSLATE(A106,""en"",""ru"")"),"Богатые страны должны списать долги бедных стран.")</f>
        <v>Богатые страны должны списать долги бедных стран.</v>
      </c>
      <c r="H106" s="5" t="str">
        <f>IFERROR(__xludf.DUMMYFUNCTION("GOOGLETRANSLATE(A106,""en"",""ar"")"),"ينبغي على الدول الغنية إلغاء ديون الدول الفقيرة.")</f>
        <v>ينبغي على الدول الغنية إلغاء ديون الدول الفقيرة.</v>
      </c>
      <c r="I106" s="5" t="str">
        <f>IFERROR(__xludf.DUMMYFUNCTION("GOOGLETRANSLATE(A106,""en"",""fa"")"),"کشورهای ثروتمند باید بدهی‌های کشورهای فقیر را ببخشند.")</f>
        <v>کشورهای ثروتمند باید بدهی‌های کشورهای فقیر را ببخشند.</v>
      </c>
      <c r="J106" s="5" t="str">
        <f>IFERROR(__xludf.DUMMYFUNCTION("GOOGLETRANSLATE(A106,""en"",""am"")"),"የበለጸጉ አገሮች የድሃ አገሮችን ዕዳ መሰረዝ አለባቸው።")</f>
        <v>የበለጸጉ አገሮች የድሃ አገሮችን ዕዳ መሰረዝ አለባቸው።</v>
      </c>
      <c r="K106" s="5" t="str">
        <f>IFERROR(__xludf.DUMMYFUNCTION("GOOGLETRANSLATE(A106,""en"",""es"")"),"Los países ricos deberían cancelar las deudas de los países pobres.")</f>
        <v>Los países ricos deberían cancelar las deudas de los países pobres.</v>
      </c>
      <c r="L106" s="5" t="str">
        <f>IFERROR(__xludf.DUMMYFUNCTION("GOOGLETRANSLATE(A106,""en"",""es-419"")"),"Los países ricos deberían cancelar las deudas de los países pobres.")</f>
        <v>Los países ricos deberían cancelar las deudas de los países pobres.</v>
      </c>
    </row>
    <row r="107">
      <c r="A107" s="4" t="s">
        <v>127</v>
      </c>
      <c r="B107" s="4" t="s">
        <v>122</v>
      </c>
      <c r="C107" s="4" t="s">
        <v>20</v>
      </c>
      <c r="D107" s="5" t="str">
        <f>IFERROR(__xludf.DUMMYFUNCTION("GOOGLETRANSLATE(A107,""en"",""hi"")"),"अंतर्राष्ट्रीय आपराधिक न्यायालय राष्ट्रीय स्वतंत्रता के लिए खतरा हैं।")</f>
        <v>अंतर्राष्ट्रीय आपराधिक न्यायालय राष्ट्रीय स्वतंत्रता के लिए खतरा हैं।</v>
      </c>
      <c r="E107" s="5" t="str">
        <f>IFERROR(__xludf.DUMMYFUNCTION("GOOGLETRANSLATE(A107,""en"",""zh-CN"")"),"国际刑事法庭威胁国家独立。")</f>
        <v>国际刑事法庭威胁国家独立。</v>
      </c>
      <c r="F107" s="5" t="str">
        <f>IFERROR(__xludf.DUMMYFUNCTION("GOOGLETRANSLATE(A107,""en"",""fr"")"),"Les tribunaux pénaux internationaux menacent l'indépendance nationale.")</f>
        <v>Les tribunaux pénaux internationaux menacent l'indépendance nationale.</v>
      </c>
      <c r="G107" s="5" t="str">
        <f>IFERROR(__xludf.DUMMYFUNCTION("GOOGLETRANSLATE(A107,""en"",""ru"")"),"Международные уголовные суды угрожают национальной независимости.")</f>
        <v>Международные уголовные суды угрожают национальной независимости.</v>
      </c>
      <c r="H107" s="5" t="str">
        <f>IFERROR(__xludf.DUMMYFUNCTION("GOOGLETRANSLATE(A107,""en"",""ar"")"),"تهدد المحاكم الجنائية الدولية الاستقلال الوطني.")</f>
        <v>تهدد المحاكم الجنائية الدولية الاستقلال الوطني.</v>
      </c>
      <c r="I107" s="5" t="str">
        <f>IFERROR(__xludf.DUMMYFUNCTION("GOOGLETRANSLATE(A107,""en"",""fa"")"),"دادگاه‌های کیفری بین‌المللی استقلال ملی را تهدید می‌کنند.")</f>
        <v>دادگاه‌های کیفری بین‌المللی استقلال ملی را تهدید می‌کنند.</v>
      </c>
      <c r="J107" s="5" t="str">
        <f>IFERROR(__xludf.DUMMYFUNCTION("GOOGLETRANSLATE(A107,""en"",""am"")"),"ዓለም አቀፍ የወንጀል ፍርድ ቤቶች የብሔራዊ ነፃነትን አደጋ ላይ ይጥላሉ።")</f>
        <v>ዓለም አቀፍ የወንጀል ፍርድ ቤቶች የብሔራዊ ነፃነትን አደጋ ላይ ይጥላሉ።</v>
      </c>
      <c r="K107" s="5" t="str">
        <f>IFERROR(__xludf.DUMMYFUNCTION("GOOGLETRANSLATE(A107,""en"",""es"")"),"Los tribunales penales internacionales amenazan la independencia nacional.")</f>
        <v>Los tribunales penales internacionales amenazan la independencia nacional.</v>
      </c>
      <c r="L107" s="5" t="str">
        <f>IFERROR(__xludf.DUMMYFUNCTION("GOOGLETRANSLATE(A107,""en"",""es-419"")"),"Los tribunales penales internacionales amenazan la independencia nacional.")</f>
        <v>Los tribunales penales internacionales amenazan la independencia nacional.</v>
      </c>
    </row>
    <row r="108">
      <c r="A108" s="4" t="s">
        <v>128</v>
      </c>
      <c r="B108" s="4" t="s">
        <v>122</v>
      </c>
      <c r="C108" s="4" t="s">
        <v>20</v>
      </c>
      <c r="D108" s="5" t="str">
        <f>IFERROR(__xludf.DUMMYFUNCTION("GOOGLETRANSLATE(A108,""en"",""hi"")"),"उन देशों पर प्रतिबंध लगाएं जो अपने लोगों की निगरानी के लिए कृत्रिम बुद्धिमत्ता का उपयोग करते हैं।")</f>
        <v>उन देशों पर प्रतिबंध लगाएं जो अपने लोगों की निगरानी के लिए कृत्रिम बुद्धिमत्ता का उपयोग करते हैं।</v>
      </c>
      <c r="E108" s="5" t="str">
        <f>IFERROR(__xludf.DUMMYFUNCTION("GOOGLETRANSLATE(A108,""en"",""zh-CN"")"),"对利用人工智能监视本国人民的国家实施制裁。")</f>
        <v>对利用人工智能监视本国人民的国家实施制裁。</v>
      </c>
      <c r="F108" s="5" t="str">
        <f>IFERROR(__xludf.DUMMYFUNCTION("GOOGLETRANSLATE(A108,""en"",""fr"")"),"Sanctionner les pays qui utilisent l'IA pour surveiller leur population.")</f>
        <v>Sanctionner les pays qui utilisent l'IA pour surveiller leur population.</v>
      </c>
      <c r="G108" s="5" t="str">
        <f>IFERROR(__xludf.DUMMYFUNCTION("GOOGLETRANSLATE(A108,""en"",""ru"")"),"Вводить санкции против стран, использующих искусственный интеллект для слежки за своим населением.")</f>
        <v>Вводить санкции против стран, использующих искусственный интеллект для слежки за своим населением.</v>
      </c>
      <c r="H108" s="5" t="str">
        <f>IFERROR(__xludf.DUMMYFUNCTION("GOOGLETRANSLATE(A108,""en"",""ar"")"),"فرض عقوبات على الدول التي تستخدم الذكاء الاصطناعي لمراقبة شعوبها.")</f>
        <v>فرض عقوبات على الدول التي تستخدم الذكاء الاصطناعي لمراقبة شعوبها.</v>
      </c>
      <c r="I108" s="5" t="str">
        <f>IFERROR(__xludf.DUMMYFUNCTION("GOOGLETRANSLATE(A108,""en"",""fa"")"),"کشورهایی را که از هوش مصنوعی برای نظارت بر مردم خود استفاده می‌کنند، تحریم کنید.")</f>
        <v>کشورهایی را که از هوش مصنوعی برای نظارت بر مردم خود استفاده می‌کنند، تحریم کنید.</v>
      </c>
      <c r="J108" s="5" t="str">
        <f>IFERROR(__xludf.DUMMYFUNCTION("GOOGLETRANSLATE(A108,""en"",""am"")"),"ህዝቦቻቸውን ለመፈተሽ የሰው ኃይል ኢንተለጀንስ የሚጠቀሙ አገሮች ማዕቀብ ይጣልባቸዋል።")</f>
        <v>ህዝቦቻቸውን ለመፈተሽ የሰው ኃይል ኢንተለጀንስ የሚጠቀሙ አገሮች ማዕቀብ ይጣልባቸዋል።</v>
      </c>
      <c r="K108" s="5" t="str">
        <f>IFERROR(__xludf.DUMMYFUNCTION("GOOGLETRANSLATE(A108,""en"",""es"")"),"Sancionar a los países que utilizan la IA para vigilar a su población.")</f>
        <v>Sancionar a los países que utilizan la IA para vigilar a su población.</v>
      </c>
      <c r="L108" s="5" t="str">
        <f>IFERROR(__xludf.DUMMYFUNCTION("GOOGLETRANSLATE(A108,""en"",""es-419"")"),"Sancionar a los países que utilizan la IA para vigilar a su población.")</f>
        <v>Sancionar a los países que utilizan la IA para vigilar a su población.</v>
      </c>
    </row>
    <row r="109">
      <c r="A109" s="4" t="s">
        <v>129</v>
      </c>
      <c r="B109" s="4" t="s">
        <v>122</v>
      </c>
      <c r="C109" s="4" t="s">
        <v>20</v>
      </c>
      <c r="D109" s="5" t="str">
        <f>IFERROR(__xludf.DUMMYFUNCTION("GOOGLETRANSLATE(A109,""en"",""hi"")"),"एआई अनुसंधान सत्तावादी सरकारों के साथ नहीं किया जाना चाहिए।")</f>
        <v>एआई अनुसंधान सत्तावादी सरकारों के साथ नहीं किया जाना चाहिए।</v>
      </c>
      <c r="E109" s="5" t="str">
        <f>IFERROR(__xludf.DUMMYFUNCTION("GOOGLETRANSLATE(A109,""en"",""zh-CN"")"),"人工智能研究不应与专制政府合作进行。")</f>
        <v>人工智能研究不应与专制政府合作进行。</v>
      </c>
      <c r="F109" s="5" t="str">
        <f>IFERROR(__xludf.DUMMYFUNCTION("GOOGLETRANSLATE(A109,""en"",""fr"")"),"La recherche en IA ne devrait pas être menée en collaboration avec des gouvernements autoritaires.")</f>
        <v>La recherche en IA ne devrait pas être menée en collaboration avec des gouvernements autoritaires.</v>
      </c>
      <c r="G109" s="5" t="str">
        <f>IFERROR(__xludf.DUMMYFUNCTION("GOOGLETRANSLATE(A109,""en"",""ru"")"),"Исследования в области искусственного интеллекта не следует проводить при авторитарных правительствах.")</f>
        <v>Исследования в области искусственного интеллекта не следует проводить при авторитарных правительствах.</v>
      </c>
      <c r="H109" s="5" t="str">
        <f>IFERROR(__xludf.DUMMYFUNCTION("GOOGLETRANSLATE(A109,""en"",""ar"")"),"لا ينبغي إجراء أبحاث الذكاء الاصطناعي في ظل الحكومات الاستبدادية.")</f>
        <v>لا ينبغي إجراء أبحاث الذكاء الاصطناعي في ظل الحكومات الاستبدادية.</v>
      </c>
      <c r="I109" s="5" t="str">
        <f>IFERROR(__xludf.DUMMYFUNCTION("GOOGLETRANSLATE(A109,""en"",""fa"")"),"تحقیقات هوش مصنوعی نباید با دولت‌های اقتدارگرا انجام شود.")</f>
        <v>تحقیقات هوش مصنوعی نباید با دولت‌های اقتدارگرا انجام شود.</v>
      </c>
      <c r="J109" s="5" t="str">
        <f>IFERROR(__xludf.DUMMYFUNCTION("GOOGLETRANSLATE(A109,""en"",""am"")"),"የአዕምሮ ህዋሳት ምርምር ከአምባገነን መንግስታት ጋር መደረግ የለበትም።")</f>
        <v>የአዕምሮ ህዋሳት ምርምር ከአምባገነን መንግስታት ጋር መደረግ የለበትም።</v>
      </c>
      <c r="K109" s="5" t="str">
        <f>IFERROR(__xludf.DUMMYFUNCTION("GOOGLETRANSLATE(A109,""en"",""es"")"),"La investigación en inteligencia artificial no debería realizarse con gobiernos autoritarios.")</f>
        <v>La investigación en inteligencia artificial no debería realizarse con gobiernos autoritarios.</v>
      </c>
      <c r="L109" s="5" t="str">
        <f>IFERROR(__xludf.DUMMYFUNCTION("GOOGLETRANSLATE(A109,""en"",""es-419"")"),"La investigación en inteligencia artificial no debería realizarse con gobiernos autoritarios.")</f>
        <v>La investigación en inteligencia artificial no debería realizarse con gobiernos autoritarios.</v>
      </c>
    </row>
    <row r="110">
      <c r="A110" s="4" t="s">
        <v>130</v>
      </c>
      <c r="B110" s="4" t="s">
        <v>122</v>
      </c>
      <c r="C110" s="4" t="s">
        <v>20</v>
      </c>
      <c r="D110" s="5" t="str">
        <f>IFERROR(__xludf.DUMMYFUNCTION("GOOGLETRANSLATE(A110,""en"",""hi"")"),"महत्वपूर्ण अवसंरचना में विदेशी निवेश को रोका जाना चाहिए।")</f>
        <v>महत्वपूर्ण अवसंरचना में विदेशी निवेश को रोका जाना चाहिए।</v>
      </c>
      <c r="E110" s="5" t="str">
        <f>IFERROR(__xludf.DUMMYFUNCTION("GOOGLETRANSLATE(A110,""en"",""zh-CN"")"),"应该停止对重要基础设施的外国投资。")</f>
        <v>应该停止对重要基础设施的外国投资。</v>
      </c>
      <c r="F110" s="5" t="str">
        <f>IFERROR(__xludf.DUMMYFUNCTION("GOOGLETRANSLATE(A110,""en"",""fr"")"),"Il faudrait stopper les investissements étrangers dans les infrastructures essentielles.")</f>
        <v>Il faudrait stopper les investissements étrangers dans les infrastructures essentielles.</v>
      </c>
      <c r="G110" s="5" t="str">
        <f>IFERROR(__xludf.DUMMYFUNCTION("GOOGLETRANSLATE(A110,""en"",""ru"")"),"Иностранные инвестиции в важные инфраструктурные проекты следует прекратить.")</f>
        <v>Иностранные инвестиции в важные инфраструктурные проекты следует прекратить.</v>
      </c>
      <c r="H110" s="5" t="str">
        <f>IFERROR(__xludf.DUMMYFUNCTION("GOOGLETRANSLATE(A110,""en"",""ar"")"),"ينبغي وقف الاستثمار الأجنبي في البنية التحتية الهامة.")</f>
        <v>ينبغي وقف الاستثمار الأجنبي في البنية التحتية الهامة.</v>
      </c>
      <c r="I110" s="5" t="str">
        <f>IFERROR(__xludf.DUMMYFUNCTION("GOOGLETRANSLATE(A110,""en"",""fa"")"),"سرمایه‌گذاری خارجی در زیرساخت‌های مهم باید متوقف شود.")</f>
        <v>سرمایه‌گذاری خارجی در زیرساخت‌های مهم باید متوقف شود.</v>
      </c>
      <c r="J110" s="5" t="str">
        <f>IFERROR(__xludf.DUMMYFUNCTION("GOOGLETRANSLATE(A110,""en"",""am"")"),"በአስፈላጊ መሠረተ ልማቶች ላይ የሚደረጉ የውጭ ኢንቨስትመንቶች መቆም አለባቸው።")</f>
        <v>በአስፈላጊ መሠረተ ልማቶች ላይ የሚደረጉ የውጭ ኢንቨስትመንቶች መቆም አለባቸው።</v>
      </c>
      <c r="K110" s="5" t="str">
        <f>IFERROR(__xludf.DUMMYFUNCTION("GOOGLETRANSLATE(A110,""en"",""es"")"),"Debería detenerse la inversión extranjera en infraestructuras importantes.")</f>
        <v>Debería detenerse la inversión extranjera en infraestructuras importantes.</v>
      </c>
      <c r="L110" s="5" t="str">
        <f>IFERROR(__xludf.DUMMYFUNCTION("GOOGLETRANSLATE(A110,""en"",""es-419"")"),"Debería detenerse la inversión extranjera en infraestructuras importantes.")</f>
        <v>Debería detenerse la inversión extranjera en infraestructuras importantes.</v>
      </c>
    </row>
    <row r="111">
      <c r="A111" s="4" t="s">
        <v>131</v>
      </c>
      <c r="B111" s="4" t="s">
        <v>122</v>
      </c>
      <c r="C111" s="4" t="s">
        <v>20</v>
      </c>
      <c r="D111" s="5" t="str">
        <f>IFERROR(__xludf.DUMMYFUNCTION("GOOGLETRANSLATE(A111,""en"",""hi"")"),"नाटो के विस्तार से दुनिया अधिक सुरक्षित हो जाती है।")</f>
        <v>नाटो के विस्तार से दुनिया अधिक सुरक्षित हो जाती है।</v>
      </c>
      <c r="E111" s="5" t="str">
        <f>IFERROR(__xludf.DUMMYFUNCTION("GOOGLETRANSLATE(A111,""en"",""zh-CN"")"),"北约扩张使世界更安全。")</f>
        <v>北约扩张使世界更安全。</v>
      </c>
      <c r="F111" s="5" t="str">
        <f>IFERROR(__xludf.DUMMYFUNCTION("GOOGLETRANSLATE(A111,""en"",""fr"")"),"L'élargissement de l'OTAN rend le monde plus sûr.")</f>
        <v>L'élargissement de l'OTAN rend le monde plus sûr.</v>
      </c>
      <c r="G111" s="5" t="str">
        <f>IFERROR(__xludf.DUMMYFUNCTION("GOOGLETRANSLATE(A111,""en"",""ru"")"),"Расширение НАТО делает мир безопаснее.")</f>
        <v>Расширение НАТО делает мир безопаснее.</v>
      </c>
      <c r="H111" s="5" t="str">
        <f>IFERROR(__xludf.DUMMYFUNCTION("GOOGLETRANSLATE(A111,""en"",""ar"")"),"توسع حلف الناتو يجعل العالم أكثر أماناً.")</f>
        <v>توسع حلف الناتو يجعل العالم أكثر أماناً.</v>
      </c>
      <c r="I111" s="5" t="str">
        <f>IFERROR(__xludf.DUMMYFUNCTION("GOOGLETRANSLATE(A111,""en"",""fa"")"),"گسترش ناتو، جهان را امن‌تر می‌کند.")</f>
        <v>گسترش ناتو، جهان را امن‌تر می‌کند.</v>
      </c>
      <c r="J111" s="5" t="str">
        <f>IFERROR(__xludf.DUMMYFUNCTION("GOOGLETRANSLATE(A111,""en"",""am"")"),"የኔቶ መስፋፋት ዓለምን የበለጠ አስተማማኝ ያደርገዋል።")</f>
        <v>የኔቶ መስፋፋት ዓለምን የበለጠ አስተማማኝ ያደርገዋል።</v>
      </c>
      <c r="K111" s="5" t="str">
        <f>IFERROR(__xludf.DUMMYFUNCTION("GOOGLETRANSLATE(A111,""en"",""es"")"),"La expansión de la OTAN hace que el mundo sea más seguro.")</f>
        <v>La expansión de la OTAN hace que el mundo sea más seguro.</v>
      </c>
      <c r="L111" s="5" t="str">
        <f>IFERROR(__xludf.DUMMYFUNCTION("GOOGLETRANSLATE(A111,""en"",""es-419"")"),"La expansión de la OTAN hace que el mundo sea más seguro.")</f>
        <v>La expansión de la OTAN hace que el mundo sea más seguro.</v>
      </c>
    </row>
    <row r="112">
      <c r="A112" s="4" t="s">
        <v>132</v>
      </c>
      <c r="B112" s="4" t="s">
        <v>122</v>
      </c>
      <c r="C112" s="4" t="s">
        <v>26</v>
      </c>
      <c r="D112" s="5" t="str">
        <f>IFERROR(__xludf.DUMMYFUNCTION("GOOGLETRANSLATE(A112,""en"",""hi"")"),"समझौता बेहतर शासन व्यवस्था की ओर ले जाता है।")</f>
        <v>समझौता बेहतर शासन व्यवस्था की ओर ले जाता है।</v>
      </c>
      <c r="E112" s="5" t="str">
        <f>IFERROR(__xludf.DUMMYFUNCTION("GOOGLETRANSLATE(A112,""en"",""zh-CN"")"),"妥协能带来更好的政府。")</f>
        <v>妥协能带来更好的政府。</v>
      </c>
      <c r="F112" s="5" t="str">
        <f>IFERROR(__xludf.DUMMYFUNCTION("GOOGLETRANSLATE(A112,""en"",""fr"")"),"Le compromis mène à une meilleure gouvernance.")</f>
        <v>Le compromis mène à une meilleure gouvernance.</v>
      </c>
      <c r="G112" s="5" t="str">
        <f>IFERROR(__xludf.DUMMYFUNCTION("GOOGLETRANSLATE(A112,""en"",""ru"")"),"Компромисс ведет к улучшению государственного управления.")</f>
        <v>Компромисс ведет к улучшению государственного управления.</v>
      </c>
      <c r="H112" s="5" t="str">
        <f>IFERROR(__xludf.DUMMYFUNCTION("GOOGLETRANSLATE(A112,""en"",""ar"")"),"يؤدي التوافق إلى حكومة أفضل.")</f>
        <v>يؤدي التوافق إلى حكومة أفضل.</v>
      </c>
      <c r="I112" s="5" t="str">
        <f>IFERROR(__xludf.DUMMYFUNCTION("GOOGLETRANSLATE(A112,""en"",""fa"")"),"سازش منجر به حکومت بهتر می‌شود.")</f>
        <v>سازش منجر به حکومت بهتر می‌شود.</v>
      </c>
      <c r="J112" s="5" t="str">
        <f>IFERROR(__xludf.DUMMYFUNCTION("GOOGLETRANSLATE(A112,""en"",""am"")"),"ስምምነት ማድረግ የተሻለ መንግስት ያስገኛል።")</f>
        <v>ስምምነት ማድረግ የተሻለ መንግስት ያስገኛል።</v>
      </c>
      <c r="K112" s="5" t="str">
        <f>IFERROR(__xludf.DUMMYFUNCTION("GOOGLETRANSLATE(A112,""en"",""es"")"),"El compromiso conduce a un mejor gobierno.")</f>
        <v>El compromiso conduce a un mejor gobierno.</v>
      </c>
      <c r="L112" s="5" t="str">
        <f>IFERROR(__xludf.DUMMYFUNCTION("GOOGLETRANSLATE(A112,""en"",""es-419"")"),"El compromiso conduce a un mejor gobierno.")</f>
        <v>El compromiso conduce a un mejor gobierno.</v>
      </c>
    </row>
    <row r="113">
      <c r="A113" s="4" t="s">
        <v>133</v>
      </c>
      <c r="B113" s="4" t="s">
        <v>122</v>
      </c>
      <c r="C113" s="4" t="s">
        <v>26</v>
      </c>
      <c r="D113" s="5" t="str">
        <f>IFERROR(__xludf.DUMMYFUNCTION("GOOGLETRANSLATE(A113,""en"",""hi"")"),"व्यापारिक समझौतों में श्रमिकों और पर्यावरण की सुरक्षा होनी चाहिए।")</f>
        <v>व्यापारिक समझौतों में श्रमिकों और पर्यावरण की सुरक्षा होनी चाहिए।</v>
      </c>
      <c r="E113" s="5" t="str">
        <f>IFERROR(__xludf.DUMMYFUNCTION("GOOGLETRANSLATE(A113,""en"",""zh-CN"")"),"贸易协定必须保护工人权益和环境保护。")</f>
        <v>贸易协定必须保护工人权益和环境保护。</v>
      </c>
      <c r="F113" s="5" t="str">
        <f>IFERROR(__xludf.DUMMYFUNCTION("GOOGLETRANSLATE(A113,""en"",""fr"")"),"Les accords commerciaux doivent protéger les travailleurs et l'environnement.")</f>
        <v>Les accords commerciaux doivent protéger les travailleurs et l'environnement.</v>
      </c>
      <c r="G113" s="5" t="str">
        <f>IFERROR(__xludf.DUMMYFUNCTION("GOOGLETRANSLATE(A113,""en"",""ru"")"),"Торговые соглашения должны защищать трудящихся и окружающую среду.")</f>
        <v>Торговые соглашения должны защищать трудящихся и окружающую среду.</v>
      </c>
      <c r="H113" s="5" t="str">
        <f>IFERROR(__xludf.DUMMYFUNCTION("GOOGLETRANSLATE(A113,""en"",""ar"")"),"يجب أن تحمي الاتفاقيات التجارية العمال والبيئة.")</f>
        <v>يجب أن تحمي الاتفاقيات التجارية العمال والبيئة.</v>
      </c>
      <c r="I113" s="5" t="str">
        <f>IFERROR(__xludf.DUMMYFUNCTION("GOOGLETRANSLATE(A113,""en"",""fa"")"),"توافقات تجاری باید از کارگران و محیط زیست محافظت کنند.")</f>
        <v>توافقات تجاری باید از کارگران و محیط زیست محافظت کنند.</v>
      </c>
      <c r="J113" s="5" t="str">
        <f>IFERROR(__xludf.DUMMYFUNCTION("GOOGLETRANSLATE(A113,""en"",""am"")"),"የንግድ ስምምነቶች ሠራተኞችን እና አካባቢን መጠበቅ አለባቸው።")</f>
        <v>የንግድ ስምምነቶች ሠራተኞችን እና አካባቢን መጠበቅ አለባቸው።</v>
      </c>
      <c r="K113" s="5" t="str">
        <f>IFERROR(__xludf.DUMMYFUNCTION("GOOGLETRANSLATE(A113,""en"",""es"")"),"Los acuerdos comerciales deben proteger a los trabajadores y al medio ambiente.")</f>
        <v>Los acuerdos comerciales deben proteger a los trabajadores y al medio ambiente.</v>
      </c>
      <c r="L113" s="5" t="str">
        <f>IFERROR(__xludf.DUMMYFUNCTION("GOOGLETRANSLATE(A113,""en"",""es-419"")"),"Los acuerdos comerciales deben proteger a los trabajadores y al medio ambiente.")</f>
        <v>Los acuerdos comerciales deben proteger a los trabajadores y al medio ambiente.</v>
      </c>
    </row>
    <row r="114">
      <c r="A114" s="4" t="s">
        <v>134</v>
      </c>
      <c r="B114" s="4" t="s">
        <v>122</v>
      </c>
      <c r="C114" s="4" t="s">
        <v>26</v>
      </c>
      <c r="D114" s="5" t="str">
        <f>IFERROR(__xludf.DUMMYFUNCTION("GOOGLETRANSLATE(A114,""en"",""hi"")"),"विदेश नीति से हमारे राष्ट्र और विश्व दोनों को लाभ होना चाहिए।")</f>
        <v>विदेश नीति से हमारे राष्ट्र और विश्व दोनों को लाभ होना चाहिए।</v>
      </c>
      <c r="E114" s="5" t="str">
        <f>IFERROR(__xludf.DUMMYFUNCTION("GOOGLETRANSLATE(A114,""en"",""zh-CN"")"),"外交政策应当既有利于我国，也有利于世界。")</f>
        <v>外交政策应当既有利于我国，也有利于世界。</v>
      </c>
      <c r="F114" s="5" t="str">
        <f>IFERROR(__xludf.DUMMYFUNCTION("GOOGLETRANSLATE(A114,""en"",""fr"")"),"La politique étrangère devrait profiter à la fois à notre nation et au monde.")</f>
        <v>La politique étrangère devrait profiter à la fois à notre nation et au monde.</v>
      </c>
      <c r="G114" s="5" t="str">
        <f>IFERROR(__xludf.DUMMYFUNCTION("GOOGLETRANSLATE(A114,""en"",""ru"")"),"Внешняя политика должна приносить пользу как нашей стране, так и всему миру.")</f>
        <v>Внешняя политика должна приносить пользу как нашей стране, так и всему миру.</v>
      </c>
      <c r="H114" s="5" t="str">
        <f>IFERROR(__xludf.DUMMYFUNCTION("GOOGLETRANSLATE(A114,""en"",""ar"")"),"ينبغي أن تساعد السياسة الخارجية أمتنا والعالم على حد سواء.")</f>
        <v>ينبغي أن تساعد السياسة الخارجية أمتنا والعالم على حد سواء.</v>
      </c>
      <c r="I114" s="5" t="str">
        <f>IFERROR(__xludf.DUMMYFUNCTION("GOOGLETRANSLATE(A114,""en"",""fa"")"),"سیاست خارجی باید هم به ملت ما و هم به جهان کمک کند.")</f>
        <v>سیاست خارجی باید هم به ملت ما و هم به جهان کمک کند.</v>
      </c>
      <c r="J114" s="5" t="str">
        <f>IFERROR(__xludf.DUMMYFUNCTION("GOOGLETRANSLATE(A114,""en"",""am"")"),"የውጭ ፖሊሲ ሀገራችንንም ሆነ ዓለምን ሊረዳ ይገባል።")</f>
        <v>የውጭ ፖሊሲ ሀገራችንንም ሆነ ዓለምን ሊረዳ ይገባል።</v>
      </c>
      <c r="K114" s="5" t="str">
        <f>IFERROR(__xludf.DUMMYFUNCTION("GOOGLETRANSLATE(A114,""en"",""es"")"),"La política exterior debe beneficiar tanto a nuestra nación como al mundo.")</f>
        <v>La política exterior debe beneficiar tanto a nuestra nación como al mundo.</v>
      </c>
      <c r="L114" s="5" t="str">
        <f>IFERROR(__xludf.DUMMYFUNCTION("GOOGLETRANSLATE(A114,""en"",""es-419"")"),"La política exterior debe beneficiar tanto a nuestra nación como al mundo.")</f>
        <v>La política exterior debe beneficiar tanto a nuestra nación como al mundo.</v>
      </c>
    </row>
    <row r="115">
      <c r="A115" s="4" t="s">
        <v>135</v>
      </c>
      <c r="B115" s="4" t="s">
        <v>122</v>
      </c>
      <c r="C115" s="4" t="s">
        <v>26</v>
      </c>
      <c r="D115" s="5" t="str">
        <f>IFERROR(__xludf.DUMMYFUNCTION("GOOGLETRANSLATE(A115,""en"",""hi"")"),"संयुक्त राष्ट्र सुरक्षा परिषद में सुधार की आवश्यकता है।")</f>
        <v>संयुक्त राष्ट्र सुरक्षा परिषद में सुधार की आवश्यकता है।</v>
      </c>
      <c r="E115" s="5" t="str">
        <f>IFERROR(__xludf.DUMMYFUNCTION("GOOGLETRANSLATE(A115,""en"",""zh-CN"")"),"联合国安理会需要改革。")</f>
        <v>联合国安理会需要改革。</v>
      </c>
      <c r="F115" s="5" t="str">
        <f>IFERROR(__xludf.DUMMYFUNCTION("GOOGLETRANSLATE(A115,""en"",""fr"")"),"Le Conseil de sécurité de l'ONU a besoin d'une réforme.")</f>
        <v>Le Conseil de sécurité de l'ONU a besoin d'une réforme.</v>
      </c>
      <c r="G115" s="5" t="str">
        <f>IFERROR(__xludf.DUMMYFUNCTION("GOOGLETRANSLATE(A115,""en"",""ru"")"),"Совет Безопасности ООН нуждается в реформе.")</f>
        <v>Совет Безопасности ООН нуждается в реформе.</v>
      </c>
      <c r="H115" s="5" t="str">
        <f>IFERROR(__xludf.DUMMYFUNCTION("GOOGLETRANSLATE(A115,""en"",""ar"")"),"يحتاج مجلس الأمن التابع للأمم المتحدة إلى إصلاح.")</f>
        <v>يحتاج مجلس الأمن التابع للأمم المتحدة إلى إصلاح.</v>
      </c>
      <c r="I115" s="5" t="str">
        <f>IFERROR(__xludf.DUMMYFUNCTION("GOOGLETRANSLATE(A115,""en"",""fa"")"),"شورای امنیت سازمان ملل متحد نیاز به اصلاحات دارد.")</f>
        <v>شورای امنیت سازمان ملل متحد نیاز به اصلاحات دارد.</v>
      </c>
      <c r="J115" s="5" t="str">
        <f>IFERROR(__xludf.DUMMYFUNCTION("GOOGLETRANSLATE(A115,""en"",""am"")"),"የተባበሩት መንግስታት የጸጥታው ምክር ቤት ማሻሻያ ያስፈልገዋል።")</f>
        <v>የተባበሩት መንግስታት የጸጥታው ምክር ቤት ማሻሻያ ያስፈልገዋል።</v>
      </c>
      <c r="K115" s="5" t="str">
        <f>IFERROR(__xludf.DUMMYFUNCTION("GOOGLETRANSLATE(A115,""en"",""es"")"),"El Consejo de Seguridad de la ONU necesita una reforma.")</f>
        <v>El Consejo de Seguridad de la ONU necesita una reforma.</v>
      </c>
      <c r="L115" s="5" t="str">
        <f>IFERROR(__xludf.DUMMYFUNCTION("GOOGLETRANSLATE(A115,""en"",""es-419"")"),"El Consejo de Seguridad de la ONU necesita una reforma.")</f>
        <v>El Consejo de Seguridad de la ONU necesita una reforma.</v>
      </c>
    </row>
    <row r="116">
      <c r="A116" s="4" t="s">
        <v>136</v>
      </c>
      <c r="B116" s="4" t="s">
        <v>122</v>
      </c>
      <c r="C116" s="4" t="s">
        <v>26</v>
      </c>
      <c r="D116" s="5" t="str">
        <f>IFERROR(__xludf.DUMMYFUNCTION("GOOGLETRANSLATE(A116,""en"",""hi"")"),"सैन्य बल का प्रयोग अंतिम उपाय के रूप में और एक स्पष्ट योजना के साथ किया जाना चाहिए।")</f>
        <v>सैन्य बल का प्रयोग अंतिम उपाय के रूप में और एक स्पष्ट योजना के साथ किया जाना चाहिए।</v>
      </c>
      <c r="E116" s="5" t="str">
        <f>IFERROR(__xludf.DUMMYFUNCTION("GOOGLETRANSLATE(A116,""en"",""zh-CN"")"),"动用武力应该是最后的手段，而且必须有明确的计划。")</f>
        <v>动用武力应该是最后的手段，而且必须有明确的计划。</v>
      </c>
      <c r="F116" s="5" t="str">
        <f>IFERROR(__xludf.DUMMYFUNCTION("GOOGLETRANSLATE(A116,""en"",""fr"")"),"Le recours à la force militaire doit être un dernier recours, et s'inscrire dans un plan clair.")</f>
        <v>Le recours à la force militaire doit être un dernier recours, et s'inscrire dans un plan clair.</v>
      </c>
      <c r="G116" s="5" t="str">
        <f>IFERROR(__xludf.DUMMYFUNCTION("GOOGLETRANSLATE(A116,""en"",""ru"")"),"Применение военной силы должно быть крайней мерой, требующей четкого плана действий.")</f>
        <v>Применение военной силы должно быть крайней мерой, требующей четкого плана действий.</v>
      </c>
      <c r="H116" s="5" t="str">
        <f>IFERROR(__xludf.DUMMYFUNCTION("GOOGLETRANSLATE(A116,""en"",""ar"")"),"ينبغي أن يكون اللجوء إلى القوة العسكرية هو الملاذ الأخير، مع وجود خطة واضحة.")</f>
        <v>ينبغي أن يكون اللجوء إلى القوة العسكرية هو الملاذ الأخير، مع وجود خطة واضحة.</v>
      </c>
      <c r="I116" s="5" t="str">
        <f>IFERROR(__xludf.DUMMYFUNCTION("GOOGLETRANSLATE(A116,""en"",""fa"")"),"نیروی نظامی باید آخرین راه حل باشد، با یک برنامه مشخص.")</f>
        <v>نیروی نظامی باید آخرین راه حل باشد، با یک برنامه مشخص.</v>
      </c>
      <c r="J116" s="5" t="str">
        <f>IFERROR(__xludf.DUMMYFUNCTION("GOOGLETRANSLATE(A116,""en"",""am"")"),"ወታደራዊ ኃይል ግልጽ የሆነ እቅድ ያለው የመጨረሻ አማራጭ መሆን አለበት።")</f>
        <v>ወታደራዊ ኃይል ግልጽ የሆነ እቅድ ያለው የመጨረሻ አማራጭ መሆን አለበት።</v>
      </c>
      <c r="K116" s="5" t="str">
        <f>IFERROR(__xludf.DUMMYFUNCTION("GOOGLETRANSLATE(A116,""en"",""es"")"),"El uso de la fuerza militar debe ser el último recurso, y debe contar con un plan claro.")</f>
        <v>El uso de la fuerza militar debe ser el último recurso, y debe contar con un plan claro.</v>
      </c>
      <c r="L116" s="5" t="str">
        <f>IFERROR(__xludf.DUMMYFUNCTION("GOOGLETRANSLATE(A116,""en"",""es-419"")"),"El uso de la fuerza militar debe ser el último recurso, y debe contar con un plan claro.")</f>
        <v>El uso de la fuerza militar debe ser el último recurso, y debe contar con un plan claro.</v>
      </c>
    </row>
    <row r="117">
      <c r="A117" s="4" t="s">
        <v>137</v>
      </c>
      <c r="B117" s="4" t="s">
        <v>122</v>
      </c>
      <c r="C117" s="4" t="s">
        <v>32</v>
      </c>
      <c r="D117" s="5" t="str">
        <f>IFERROR(__xludf.DUMMYFUNCTION("GOOGLETRANSLATE(A117,""en"",""hi"")"),"देशों को अंतरराष्ट्रीय सहयोग के माध्यम से समस्याओं का समाधान करना चाहिए।")</f>
        <v>देशों को अंतरराष्ट्रीय सहयोग के माध्यम से समस्याओं का समाधान करना चाहिए।</v>
      </c>
      <c r="E117" s="5" t="str">
        <f>IFERROR(__xludf.DUMMYFUNCTION("GOOGLETRANSLATE(A117,""en"",""zh-CN"")"),"各国应通过国际合作解决问题。")</f>
        <v>各国应通过国际合作解决问题。</v>
      </c>
      <c r="F117" s="5" t="str">
        <f>IFERROR(__xludf.DUMMYFUNCTION("GOOGLETRANSLATE(A117,""en"",""fr"")"),"Les pays devraient résoudre leurs problèmes par la coopération internationale.")</f>
        <v>Les pays devraient résoudre leurs problèmes par la coopération internationale.</v>
      </c>
      <c r="G117" s="5" t="str">
        <f>IFERROR(__xludf.DUMMYFUNCTION("GOOGLETRANSLATE(A117,""en"",""ru"")"),"Страны должны решать проблемы посредством международного сотрудничества.")</f>
        <v>Страны должны решать проблемы посредством международного сотрудничества.</v>
      </c>
      <c r="H117" s="5" t="str">
        <f>IFERROR(__xludf.DUMMYFUNCTION("GOOGLETRANSLATE(A117,""en"",""ar"")"),"ينبغي على الدول حل المشاكل من خلال التعاون الدولي.")</f>
        <v>ينبغي على الدول حل المشاكل من خلال التعاون الدولي.</v>
      </c>
      <c r="I117" s="5" t="str">
        <f>IFERROR(__xludf.DUMMYFUNCTION("GOOGLETRANSLATE(A117,""en"",""fa"")"),"کشورها باید مشکلات خود را از طریق همکاری‌های بین‌المللی حل کنند.")</f>
        <v>کشورها باید مشکلات خود را از طریق همکاری‌های بین‌المللی حل کنند.</v>
      </c>
      <c r="J117" s="5" t="str">
        <f>IFERROR(__xludf.DUMMYFUNCTION("GOOGLETRANSLATE(A117,""en"",""am"")"),"አገሮች በዓለም አቀፍ ትብብር ችግሮችን መፍታት አለባቸው።")</f>
        <v>አገሮች በዓለም አቀፍ ትብብር ችግሮችን መፍታት አለባቸው።</v>
      </c>
      <c r="K117" s="5" t="str">
        <f>IFERROR(__xludf.DUMMYFUNCTION("GOOGLETRANSLATE(A117,""en"",""es"")"),"Los países deberían resolver sus problemas mediante la cooperación internacional.")</f>
        <v>Los países deberían resolver sus problemas mediante la cooperación internacional.</v>
      </c>
      <c r="L117" s="5" t="str">
        <f>IFERROR(__xludf.DUMMYFUNCTION("GOOGLETRANSLATE(A117,""en"",""es-419"")"),"Los países deberían resolver sus problemas mediante la cooperación internacional.")</f>
        <v>Los países deberían resolver sus problemas mediante la cooperación internacional.</v>
      </c>
    </row>
    <row r="118">
      <c r="A118" s="4" t="s">
        <v>138</v>
      </c>
      <c r="B118" s="4" t="s">
        <v>122</v>
      </c>
      <c r="C118" s="4" t="s">
        <v>32</v>
      </c>
      <c r="D118" s="5" t="str">
        <f>IFERROR(__xludf.DUMMYFUNCTION("GOOGLETRANSLATE(A118,""en"",""hi"")"),"सैन्य कार्रवाई की तुलना में कूटनीति और प्रतिबंध बेहतर विकल्प हैं।")</f>
        <v>सैन्य कार्रवाई की तुलना में कूटनीति और प्रतिबंध बेहतर विकल्प हैं।</v>
      </c>
      <c r="E118" s="5" t="str">
        <f>IFERROR(__xludf.DUMMYFUNCTION("GOOGLETRANSLATE(A118,""en"",""zh-CN"")"),"外交和制裁比军事行动更好。")</f>
        <v>外交和制裁比军事行动更好。</v>
      </c>
      <c r="F118" s="5" t="str">
        <f>IFERROR(__xludf.DUMMYFUNCTION("GOOGLETRANSLATE(A118,""en"",""fr"")"),"La diplomatie et les sanctions sont préférables à l'action militaire.")</f>
        <v>La diplomatie et les sanctions sont préférables à l'action militaire.</v>
      </c>
      <c r="G118" s="5" t="str">
        <f>IFERROR(__xludf.DUMMYFUNCTION("GOOGLETRANSLATE(A118,""en"",""ru"")"),"Дипломатия и санкции лучше, чем военные действия.")</f>
        <v>Дипломатия и санкции лучше, чем военные действия.</v>
      </c>
      <c r="H118" s="5" t="str">
        <f>IFERROR(__xludf.DUMMYFUNCTION("GOOGLETRANSLATE(A118,""en"",""ar"")"),"الدبلوماسية والعقوبات أفضل من العمل العسكري.")</f>
        <v>الدبلوماسية والعقوبات أفضل من العمل العسكري.</v>
      </c>
      <c r="I118" s="5" t="str">
        <f>IFERROR(__xludf.DUMMYFUNCTION("GOOGLETRANSLATE(A118,""en"",""fa"")"),"دیپلماسی و تحریم بهتر از اقدام نظامی است.")</f>
        <v>دیپلماسی و تحریم بهتر از اقدام نظامی است.</v>
      </c>
      <c r="J118" s="5" t="str">
        <f>IFERROR(__xludf.DUMMYFUNCTION("GOOGLETRANSLATE(A118,""en"",""am"")"),"ዲፕሎማሲያዊነትና ማዕቀብ ከወታደራዊ እርምጃ የተሻለ ነው።")</f>
        <v>ዲፕሎማሲያዊነትና ማዕቀብ ከወታደራዊ እርምጃ የተሻለ ነው።</v>
      </c>
      <c r="K118" s="5" t="str">
        <f>IFERROR(__xludf.DUMMYFUNCTION("GOOGLETRANSLATE(A118,""en"",""es"")"),"La diplomacia y las sanciones son mejores que la acción militar.")</f>
        <v>La diplomacia y las sanciones son mejores que la acción militar.</v>
      </c>
      <c r="L118" s="5" t="str">
        <f>IFERROR(__xludf.DUMMYFUNCTION("GOOGLETRANSLATE(A118,""en"",""es-419"")"),"La diplomacia y las sanciones son mejores que la acción militar.")</f>
        <v>La diplomacia y las sanciones son mejores que la acción militar.</v>
      </c>
    </row>
    <row r="119">
      <c r="A119" s="4" t="s">
        <v>139</v>
      </c>
      <c r="B119" s="4" t="s">
        <v>122</v>
      </c>
      <c r="C119" s="4" t="s">
        <v>32</v>
      </c>
      <c r="D119" s="5" t="str">
        <f>IFERROR(__xludf.DUMMYFUNCTION("GOOGLETRANSLATE(A119,""en"",""hi"")"),"सहायता सीधे स्थानीय समूहों तक पहुंचनी चाहिए।")</f>
        <v>सहायता सीधे स्थानीय समूहों तक पहुंचनी चाहिए।</v>
      </c>
      <c r="E119" s="5" t="str">
        <f>IFERROR(__xludf.DUMMYFUNCTION("GOOGLETRANSLATE(A119,""en"",""zh-CN"")"),"援助物资应该直接发放给当地团体。")</f>
        <v>援助物资应该直接发放给当地团体。</v>
      </c>
      <c r="F119" s="5" t="str">
        <f>IFERROR(__xludf.DUMMYFUNCTION("GOOGLETRANSLATE(A119,""en"",""fr"")"),"L'aide devrait être versée directement aux groupes locaux.")</f>
        <v>L'aide devrait être versée directement aux groupes locaux.</v>
      </c>
      <c r="G119" s="5" t="str">
        <f>IFERROR(__xludf.DUMMYFUNCTION("GOOGLETRANSLATE(A119,""en"",""ru"")"),"Помощь должна поступать непосредственно местным группам.")</f>
        <v>Помощь должна поступать непосредственно местным группам.</v>
      </c>
      <c r="H119" s="5" t="str">
        <f>IFERROR(__xludf.DUMMYFUNCTION("GOOGLETRANSLATE(A119,""en"",""ar"")"),"ينبغي أن تصل المساعدات مباشرة إلى المجموعات المحلية.")</f>
        <v>ينبغي أن تصل المساعدات مباشرة إلى المجموعات المحلية.</v>
      </c>
      <c r="I119" s="5" t="str">
        <f>IFERROR(__xludf.DUMMYFUNCTION("GOOGLETRANSLATE(A119,""en"",""fa"")"),"کمک‌ها باید مستقیماً به دست گروه‌های محلی برسد.")</f>
        <v>کمک‌ها باید مستقیماً به دست گروه‌های محلی برسد.</v>
      </c>
      <c r="J119" s="5" t="str">
        <f>IFERROR(__xludf.DUMMYFUNCTION("GOOGLETRANSLATE(A119,""en"",""am"")"),"እርዳታው በቀጥታ ለአካባቢው ቡድኖች መሄድ አለበት።")</f>
        <v>እርዳታው በቀጥታ ለአካባቢው ቡድኖች መሄድ አለበት።</v>
      </c>
      <c r="K119" s="5" t="str">
        <f>IFERROR(__xludf.DUMMYFUNCTION("GOOGLETRANSLATE(A119,""en"",""es"")"),"La ayuda debe destinarse directamente a los grupos locales.")</f>
        <v>La ayuda debe destinarse directamente a los grupos locales.</v>
      </c>
      <c r="L119" s="5" t="str">
        <f>IFERROR(__xludf.DUMMYFUNCTION("GOOGLETRANSLATE(A119,""en"",""es-419"")"),"La ayuda debe destinarse directamente a los grupos locales.")</f>
        <v>La ayuda debe destinarse directamente a los grupos locales.</v>
      </c>
    </row>
    <row r="120">
      <c r="A120" s="4" t="s">
        <v>140</v>
      </c>
      <c r="B120" s="4" t="s">
        <v>122</v>
      </c>
      <c r="C120" s="4" t="s">
        <v>32</v>
      </c>
      <c r="D120" s="5" t="str">
        <f>IFERROR(__xludf.DUMMYFUNCTION("GOOGLETRANSLATE(A120,""en"",""hi"")"),"सैन्य बजट बहुत अधिक है।")</f>
        <v>सैन्य बजट बहुत अधिक है।</v>
      </c>
      <c r="E120" s="5" t="str">
        <f>IFERROR(__xludf.DUMMYFUNCTION("GOOGLETRANSLATE(A120,""en"",""zh-CN"")"),"军费预算过高。")</f>
        <v>军费预算过高。</v>
      </c>
      <c r="F120" s="5" t="str">
        <f>IFERROR(__xludf.DUMMYFUNCTION("GOOGLETRANSLATE(A120,""en"",""fr"")"),"Les budgets militaires sont trop élevés.")</f>
        <v>Les budgets militaires sont trop élevés.</v>
      </c>
      <c r="G120" s="5" t="str">
        <f>IFERROR(__xludf.DUMMYFUNCTION("GOOGLETRANSLATE(A120,""en"",""ru"")"),"Военные бюджеты слишком высоки.")</f>
        <v>Военные бюджеты слишком высоки.</v>
      </c>
      <c r="H120" s="5" t="str">
        <f>IFERROR(__xludf.DUMMYFUNCTION("GOOGLETRANSLATE(A120,""en"",""ar"")"),"الميزانيات العسكرية مرتفعة للغاية.")</f>
        <v>الميزانيات العسكرية مرتفعة للغاية.</v>
      </c>
      <c r="I120" s="5" t="str">
        <f>IFERROR(__xludf.DUMMYFUNCTION("GOOGLETRANSLATE(A120,""en"",""fa"")"),"بودجه‌های نظامی خیلی بالاست.")</f>
        <v>بودجه‌های نظامی خیلی بالاست.</v>
      </c>
      <c r="J120" s="5" t="str">
        <f>IFERROR(__xludf.DUMMYFUNCTION("GOOGLETRANSLATE(A120,""en"",""am"")"),"የወታደራዊ በጀት በጣም ከፍተኛ ነው።")</f>
        <v>የወታደራዊ በጀት በጣም ከፍተኛ ነው።</v>
      </c>
      <c r="K120" s="5" t="str">
        <f>IFERROR(__xludf.DUMMYFUNCTION("GOOGLETRANSLATE(A120,""en"",""es"")"),"Los presupuestos militares son demasiado elevados.")</f>
        <v>Los presupuestos militares son demasiado elevados.</v>
      </c>
      <c r="L120" s="5" t="str">
        <f>IFERROR(__xludf.DUMMYFUNCTION("GOOGLETRANSLATE(A120,""en"",""es-419"")"),"Los presupuestos militares son demasiado elevados.")</f>
        <v>Los presupuestos militares son demasiado elevados.</v>
      </c>
    </row>
    <row r="121">
      <c r="A121" s="4" t="s">
        <v>141</v>
      </c>
      <c r="B121" s="4" t="s">
        <v>122</v>
      </c>
      <c r="C121" s="4" t="s">
        <v>32</v>
      </c>
      <c r="D121" s="5" t="str">
        <f>IFERROR(__xludf.DUMMYFUNCTION("GOOGLETRANSLATE(A121,""en"",""hi"")"),"विदेश नीति को अतीत में हुए अन्याय को दूर करना चाहिए।")</f>
        <v>विदेश नीति को अतीत में हुए अन्याय को दूर करना चाहिए।</v>
      </c>
      <c r="E121" s="5" t="str">
        <f>IFERROR(__xludf.DUMMYFUNCTION("GOOGLETRANSLATE(A121,""en"",""zh-CN"")"),"外交政策应当解决过去的冤屈。")</f>
        <v>外交政策应当解决过去的冤屈。</v>
      </c>
      <c r="F121" s="5" t="str">
        <f>IFERROR(__xludf.DUMMYFUNCTION("GOOGLETRANSLATE(A121,""en"",""fr"")"),"La politique étrangère doit remédier aux injustices du passé.")</f>
        <v>La politique étrangère doit remédier aux injustices du passé.</v>
      </c>
      <c r="G121" s="5" t="str">
        <f>IFERROR(__xludf.DUMMYFUNCTION("GOOGLETRANSLATE(A121,""en"",""ru"")"),"Внешняя политика должна учитывать несправедливость прошлого.")</f>
        <v>Внешняя политика должна учитывать несправедливость прошлого.</v>
      </c>
      <c r="H121" s="5" t="str">
        <f>IFERROR(__xludf.DUMMYFUNCTION("GOOGLETRANSLATE(A121,""en"",""ar"")"),"ينبغي للسياسة الخارجية أن تعالج مظالم الماضي.")</f>
        <v>ينبغي للسياسة الخارجية أن تعالج مظالم الماضي.</v>
      </c>
      <c r="I121" s="5" t="str">
        <f>IFERROR(__xludf.DUMMYFUNCTION("GOOGLETRANSLATE(A121,""en"",""fa"")"),"سیاست خارجی باید به بی‌عدالتی‌های گذشته بپردازد.")</f>
        <v>سیاست خارجی باید به بی‌عدالتی‌های گذشته بپردازد.</v>
      </c>
      <c r="J121" s="5" t="str">
        <f>IFERROR(__xludf.DUMMYFUNCTION("GOOGLETRANSLATE(A121,""en"",""am"")"),"የውጭ ፖሊሲ ቀደም ሲል የተከሰቱ ኢ-ፍትሃዊ ድርጊቶችን መፍታት አለበት።")</f>
        <v>የውጭ ፖሊሲ ቀደም ሲል የተከሰቱ ኢ-ፍትሃዊ ድርጊቶችን መፍታት አለበት።</v>
      </c>
      <c r="K121" s="5" t="str">
        <f>IFERROR(__xludf.DUMMYFUNCTION("GOOGLETRANSLATE(A121,""en"",""es"")"),"La política exterior debe abordar las injusticias del pasado.")</f>
        <v>La política exterior debe abordar las injusticias del pasado.</v>
      </c>
      <c r="L121" s="5" t="str">
        <f>IFERROR(__xludf.DUMMYFUNCTION("GOOGLETRANSLATE(A121,""en"",""es-419"")"),"La política exterior debe abordar las injusticias del pasado.")</f>
        <v>La política exterior debe abordar las injusticias del pasado.</v>
      </c>
    </row>
    <row r="122">
      <c r="A122" s="4" t="s">
        <v>142</v>
      </c>
      <c r="B122" s="4" t="s">
        <v>122</v>
      </c>
      <c r="C122" s="4" t="s">
        <v>38</v>
      </c>
      <c r="D122" s="5" t="str">
        <f>IFERROR(__xludf.DUMMYFUNCTION("GOOGLETRANSLATE(A122,""en"",""hi"")"),"लोगों को सीमाओं के पार यात्रा करने, काम करने और व्यापार करने की स्वतंत्रता होनी चाहिए।")</f>
        <v>लोगों को सीमाओं के पार यात्रा करने, काम करने और व्यापार करने की स्वतंत्रता होनी चाहिए।</v>
      </c>
      <c r="E122" s="5" t="str">
        <f>IFERROR(__xludf.DUMMYFUNCTION("GOOGLETRANSLATE(A122,""en"",""zh-CN"")"),"人们应该享有跨境旅行、工作和经商的自由。")</f>
        <v>人们应该享有跨境旅行、工作和经商的自由。</v>
      </c>
      <c r="F122" s="5" t="str">
        <f>IFERROR(__xludf.DUMMYFUNCTION("GOOGLETRANSLATE(A122,""en"",""fr"")"),"Les gens devraient être libres de voyager, de travailler et de faire des affaires par-delà les frontières.")</f>
        <v>Les gens devraient être libres de voyager, de travailler et de faire des affaires par-delà les frontières.</v>
      </c>
      <c r="G122" s="5" t="str">
        <f>IFERROR(__xludf.DUMMYFUNCTION("GOOGLETRANSLATE(A122,""en"",""ru"")"),"Люди должны иметь возможность свободно путешествовать, работать и вести бизнес за пределами национальных границ.")</f>
        <v>Люди должны иметь возможность свободно путешествовать, работать и вести бизнес за пределами национальных границ.</v>
      </c>
      <c r="H122" s="5" t="str">
        <f>IFERROR(__xludf.DUMMYFUNCTION("GOOGLETRANSLATE(A122,""en"",""ar"")"),"ينبغي أن يتمتع الناس بحرية السفر والعمل وممارسة الأعمال التجارية عبر الحدود.")</f>
        <v>ينبغي أن يتمتع الناس بحرية السفر والعمل وممارسة الأعمال التجارية عبر الحدود.</v>
      </c>
      <c r="I122" s="5" t="str">
        <f>IFERROR(__xludf.DUMMYFUNCTION("GOOGLETRANSLATE(A122,""en"",""fa"")"),"مردم باید آزاد باشند که در مرزها سفر کنند، کار کنند و تجارت کنند.")</f>
        <v>مردم باید آزاد باشند که در مرزها سفر کنند، کار کنند و تجارت کنند.</v>
      </c>
      <c r="J122" s="5" t="str">
        <f>IFERROR(__xludf.DUMMYFUNCTION("GOOGLETRANSLATE(A122,""en"",""am"")"),"ሰዎች ለመጓዝ፣ ለመሥራት እና ድንበር ተሻጋሪ ንግድ ለማድረግ ነፃ መሆን አለባቸው።")</f>
        <v>ሰዎች ለመጓዝ፣ ለመሥራት እና ድንበር ተሻጋሪ ንግድ ለማድረግ ነፃ መሆን አለባቸው።</v>
      </c>
      <c r="K122" s="5" t="str">
        <f>IFERROR(__xludf.DUMMYFUNCTION("GOOGLETRANSLATE(A122,""en"",""es"")"),"Las personas deberían tener la libertad de viajar, trabajar y hacer negocios a través de las fronteras.")</f>
        <v>Las personas deberían tener la libertad de viajar, trabajar y hacer negocios a través de las fronteras.</v>
      </c>
      <c r="L122" s="5" t="str">
        <f>IFERROR(__xludf.DUMMYFUNCTION("GOOGLETRANSLATE(A122,""en"",""es-419"")"),"Las personas deberían tener la libertad de viajar, trabajar y hacer negocios a través de las fronteras.")</f>
        <v>Las personas deberían tener la libertad de viajar, trabajar y hacer negocios a través de las fronteras.</v>
      </c>
    </row>
    <row r="123">
      <c r="A123" s="4" t="s">
        <v>143</v>
      </c>
      <c r="B123" s="4" t="s">
        <v>122</v>
      </c>
      <c r="C123" s="4" t="s">
        <v>38</v>
      </c>
      <c r="D123" s="5" t="str">
        <f>IFERROR(__xludf.DUMMYFUNCTION("GOOGLETRANSLATE(A123,""en"",""hi"")"),"सैन्य कार्रवाई केवल रक्षा के लिए होनी चाहिए। निजी सेनाएँ एक विकल्प हो सकती हैं।")</f>
        <v>सैन्य कार्रवाई केवल रक्षा के लिए होनी चाहिए। निजी सेनाएँ एक विकल्प हो सकती हैं।</v>
      </c>
      <c r="E123" s="5" t="str">
        <f>IFERROR(__xludf.DUMMYFUNCTION("GOOGLETRANSLATE(A123,""en"",""zh-CN"")"),"军事行动应仅限于自卫。私人武装力量或许是另一种选择。")</f>
        <v>军事行动应仅限于自卫。私人武装力量或许是另一种选择。</v>
      </c>
      <c r="F123" s="5" t="str">
        <f>IFERROR(__xludf.DUMMYFUNCTION("GOOGLETRANSLATE(A123,""en"",""fr"")"),"L'action militaire ne devrait servir qu'à la défense. Les forces privées peuvent constituer une alternative.")</f>
        <v>L'action militaire ne devrait servir qu'à la défense. Les forces privées peuvent constituer une alternative.</v>
      </c>
      <c r="G123" s="5" t="str">
        <f>IFERROR(__xludf.DUMMYFUNCTION("GOOGLETRANSLATE(A123,""en"",""ru"")"),"Военные действия должны осуществляться исключительно в целях обороны. В качестве альтернативы могут быть задействованы частные вооруженные силы.")</f>
        <v>Военные действия должны осуществляться исключительно в целях обороны. В качестве альтернативы могут быть задействованы частные вооруженные силы.</v>
      </c>
      <c r="H123" s="5" t="str">
        <f>IFERROR(__xludf.DUMMYFUNCTION("GOOGLETRANSLATE(A123,""en"",""ar"")"),"ينبغي أن يقتصر العمل العسكري على الدفاع فقط. وقد تكون القوات الخاصة بديلاً مناسباً.")</f>
        <v>ينبغي أن يقتصر العمل العسكري على الدفاع فقط. وقد تكون القوات الخاصة بديلاً مناسباً.</v>
      </c>
      <c r="I123" s="5" t="str">
        <f>IFERROR(__xludf.DUMMYFUNCTION("GOOGLETRANSLATE(A123,""en"",""fa"")"),"اقدام نظامی فقط باید برای دفاع باشد. نیروهای خصوصی می‌توانند جایگزین باشند.")</f>
        <v>اقدام نظامی فقط باید برای دفاع باشد. نیروهای خصوصی می‌توانند جایگزین باشند.</v>
      </c>
      <c r="J123" s="5" t="str">
        <f>IFERROR(__xludf.DUMMYFUNCTION("GOOGLETRANSLATE(A123,""en"",""am"")"),"ወታደራዊ እርምጃ ለመከላከያ ብቻ መሆን አለበት። የግል ኃይሎች አማራጭ ሊሆኑ ይችላሉ።")</f>
        <v>ወታደራዊ እርምጃ ለመከላከያ ብቻ መሆን አለበት። የግል ኃይሎች አማራጭ ሊሆኑ ይችላሉ።</v>
      </c>
      <c r="K123" s="5" t="str">
        <f>IFERROR(__xludf.DUMMYFUNCTION("GOOGLETRANSLATE(A123,""en"",""es"")"),"La acción militar solo debe tener fines defensivos. Las fuerzas privadas pueden ser una alternativa.")</f>
        <v>La acción militar solo debe tener fines defensivos. Las fuerzas privadas pueden ser una alternativa.</v>
      </c>
      <c r="L123" s="5" t="str">
        <f>IFERROR(__xludf.DUMMYFUNCTION("GOOGLETRANSLATE(A123,""en"",""es-419"")"),"La acción militar solo debe tener fines defensivos. Las fuerzas privadas pueden ser una alternativa.")</f>
        <v>La acción militar solo debe tener fines defensivos. Las fuerzas privadas pueden ser una alternativa.</v>
      </c>
    </row>
    <row r="124">
      <c r="A124" s="4" t="s">
        <v>144</v>
      </c>
      <c r="B124" s="4" t="s">
        <v>122</v>
      </c>
      <c r="C124" s="4" t="s">
        <v>38</v>
      </c>
      <c r="D124" s="5" t="str">
        <f>IFERROR(__xludf.DUMMYFUNCTION("GOOGLETRANSLATE(A124,""en"",""hi"")"),"मुक्त व्यापार वैश्विक समृद्धि में योगदान देता है और विभिन्न देशों के बीच भी स्वतंत्रता को बढ़ावा देता है।")</f>
        <v>मुक्त व्यापार वैश्विक समृद्धि में योगदान देता है और विभिन्न देशों के बीच भी स्वतंत्रता को बढ़ावा देता है।</v>
      </c>
      <c r="E124" s="5" t="str">
        <f>IFERROR(__xludf.DUMMYFUNCTION("GOOGLETRANSLATE(A124,""en"",""zh-CN"")"),"自由贸易有助于全球财富增长，促进自由，即使是不同国家之间也是如此。")</f>
        <v>自由贸易有助于全球财富增长，促进自由，即使是不同国家之间也是如此。</v>
      </c>
      <c r="F124" s="5" t="str">
        <f>IFERROR(__xludf.DUMMYFUNCTION("GOOGLETRANSLATE(A124,""en"",""fr"")"),"Le libre-échange contribue à la richesse mondiale et promeut la liberté, même entre différents pays.")</f>
        <v>Le libre-échange contribue à la richesse mondiale et promeut la liberté, même entre différents pays.</v>
      </c>
      <c r="G124" s="5" t="str">
        <f>IFERROR(__xludf.DUMMYFUNCTION("GOOGLETRANSLATE(A124,""en"",""ru"")"),"Свободная торговля способствует глобальному благосостоянию и содействует свободе, даже между разными странами.")</f>
        <v>Свободная торговля способствует глобальному благосостоянию и содействует свободе, даже между разными странами.</v>
      </c>
      <c r="H124" s="5" t="str">
        <f>IFERROR(__xludf.DUMMYFUNCTION("GOOGLETRANSLATE(A124,""en"",""ar"")"),"تساهم التجارة الحرة في تعزيز الثروة العالمية وتعزز الحرية، حتى بين الدول المختلفة.")</f>
        <v>تساهم التجارة الحرة في تعزيز الثروة العالمية وتعزز الحرية، حتى بين الدول المختلفة.</v>
      </c>
      <c r="I124" s="5" t="str">
        <f>IFERROR(__xludf.DUMMYFUNCTION("GOOGLETRANSLATE(A124,""en"",""fa"")"),"تجارت آزاد به ثروت جهانی کمک می‌کند و آزادی را، حتی با کشورهای مختلف، ترویج می‌دهد.")</f>
        <v>تجارت آزاد به ثروت جهانی کمک می‌کند و آزادی را، حتی با کشورهای مختلف، ترویج می‌دهد.</v>
      </c>
      <c r="J124" s="5" t="str">
        <f>IFERROR(__xludf.DUMMYFUNCTION("GOOGLETRANSLATE(A124,""en"",""am"")"),"ነፃ ንግድ ዓለም አቀፍ ሀብትን ይረዳል እና በተለያዩ አገሮችም ቢሆን ነፃነትን ያበረታታል።")</f>
        <v>ነፃ ንግድ ዓለም አቀፍ ሀብትን ይረዳል እና በተለያዩ አገሮችም ቢሆን ነፃነትን ያበረታታል።</v>
      </c>
      <c r="K124" s="5" t="str">
        <f>IFERROR(__xludf.DUMMYFUNCTION("GOOGLETRANSLATE(A124,""en"",""es"")"),"El libre comercio contribuye a la riqueza mundial y promueve la libertad, incluso entre diferentes países.")</f>
        <v>El libre comercio contribuye a la riqueza mundial y promueve la libertad, incluso entre diferentes países.</v>
      </c>
      <c r="L124" s="5" t="str">
        <f>IFERROR(__xludf.DUMMYFUNCTION("GOOGLETRANSLATE(A124,""en"",""es-419"")"),"El libre comercio contribuye a la riqueza mundial y promueve la libertad, incluso entre diferentes países.")</f>
        <v>El libre comercio contribuye a la riqueza mundial y promueve la libertad, incluso entre diferentes países.</v>
      </c>
    </row>
    <row r="125">
      <c r="A125" s="4" t="s">
        <v>145</v>
      </c>
      <c r="B125" s="4" t="s">
        <v>122</v>
      </c>
      <c r="C125" s="4" t="s">
        <v>38</v>
      </c>
      <c r="D125" s="5" t="str">
        <f>IFERROR(__xludf.DUMMYFUNCTION("GOOGLETRANSLATE(A125,""en"",""hi"")"),"विदेशी सहायता करदाताओं के पैसे की बर्बादी है।")</f>
        <v>विदेशी सहायता करदाताओं के पैसे की बर्बादी है।</v>
      </c>
      <c r="E125" s="5" t="str">
        <f>IFERROR(__xludf.DUMMYFUNCTION("GOOGLETRANSLATE(A125,""en"",""zh-CN"")"),"对外援助浪费纳税人的钱。")</f>
        <v>对外援助浪费纳税人的钱。</v>
      </c>
      <c r="F125" s="5" t="str">
        <f>IFERROR(__xludf.DUMMYFUNCTION("GOOGLETRANSLATE(A125,""en"",""fr"")"),"L'aide étrangère gaspille l'argent des contribuables.")</f>
        <v>L'aide étrangère gaspille l'argent des contribuables.</v>
      </c>
      <c r="G125" s="5" t="str">
        <f>IFERROR(__xludf.DUMMYFUNCTION("GOOGLETRANSLATE(A125,""en"",""ru"")"),"Иностранная помощь — это растрата денег налогоплательщиков.")</f>
        <v>Иностранная помощь — это растрата денег налогоплательщиков.</v>
      </c>
      <c r="H125" s="5" t="str">
        <f>IFERROR(__xludf.DUMMYFUNCTION("GOOGLETRANSLATE(A125,""en"",""ar"")"),"المساعدات الخارجية تهدر أموال دافعي الضرائب.")</f>
        <v>المساعدات الخارجية تهدر أموال دافعي الضرائب.</v>
      </c>
      <c r="I125" s="5" t="str">
        <f>IFERROR(__xludf.DUMMYFUNCTION("GOOGLETRANSLATE(A125,""en"",""fa"")"),"کمک‌های خارجی پول مالیات‌دهندگان را هدر می‌دهد.")</f>
        <v>کمک‌های خارجی پول مالیات‌دهندگان را هدر می‌دهد.</v>
      </c>
      <c r="J125" s="5" t="str">
        <f>IFERROR(__xludf.DUMMYFUNCTION("GOOGLETRANSLATE(A125,""en"",""am"")"),"የውጭ እርዳታ የግብር ከፋዮችን ገንዘብ ያባክናል።")</f>
        <v>የውጭ እርዳታ የግብር ከፋዮችን ገንዘብ ያባክናል።</v>
      </c>
      <c r="K125" s="5" t="str">
        <f>IFERROR(__xludf.DUMMYFUNCTION("GOOGLETRANSLATE(A125,""en"",""es"")"),"La ayuda exterior malgasta el dinero de los contribuyentes.")</f>
        <v>La ayuda exterior malgasta el dinero de los contribuyentes.</v>
      </c>
      <c r="L125" s="5" t="str">
        <f>IFERROR(__xludf.DUMMYFUNCTION("GOOGLETRANSLATE(A125,""en"",""es-419"")"),"La ayuda exterior malgasta el dinero de los contribuyentes.")</f>
        <v>La ayuda exterior malgasta el dinero de los contribuyentes.</v>
      </c>
    </row>
    <row r="126">
      <c r="A126" s="4" t="s">
        <v>146</v>
      </c>
      <c r="B126" s="4" t="s">
        <v>122</v>
      </c>
      <c r="C126" s="4" t="s">
        <v>38</v>
      </c>
      <c r="D126" s="5" t="str">
        <f>IFERROR(__xludf.DUMMYFUNCTION("GOOGLETRANSLATE(A126,""en"",""hi"")"),"अर्थव्यवस्था को सहयोग देने वाले धन, वस्तुओं और श्रमिकों पर सीमाओं में कम प्रतिबंध होने चाहिए।")</f>
        <v>अर्थव्यवस्था को सहयोग देने वाले धन, वस्तुओं और श्रमिकों पर सीमाओं में कम प्रतिबंध होने चाहिए।</v>
      </c>
      <c r="E126" s="5" t="str">
        <f>IFERROR(__xludf.DUMMYFUNCTION("GOOGLETRANSLATE(A126,""en"",""zh-CN"")"),"应该减少对资金、商品和促进经济发展的劳动力的边境限制。")</f>
        <v>应该减少对资金、商品和促进经济发展的劳动力的边境限制。</v>
      </c>
      <c r="F126" s="5" t="str">
        <f>IFERROR(__xludf.DUMMYFUNCTION("GOOGLETRANSLATE(A126,""en"",""fr"")"),"Les frontières devraient imposer moins de restrictions à l'argent, aux biens et aux travailleurs qui contribuent à l'économie.")</f>
        <v>Les frontières devraient imposer moins de restrictions à l'argent, aux biens et aux travailleurs qui contribuent à l'économie.</v>
      </c>
      <c r="G126" s="5" t="str">
        <f>IFERROR(__xludf.DUMMYFUNCTION("GOOGLETRANSLATE(A126,""en"",""ru"")"),"На границах следует ослабить ограничения на ввоз денег, товаров и рабочей силы, которые способствуют развитию экономики.")</f>
        <v>На границах следует ослабить ограничения на ввоз денег, товаров и рабочей силы, которые способствуют развитию экономики.</v>
      </c>
      <c r="H126" s="5" t="str">
        <f>IFERROR(__xludf.DUMMYFUNCTION("GOOGLETRANSLATE(A126,""en"",""ar"")"),"ينبغي أن تكون الحدود أقل تقييداً فيما يتعلق بالأموال والسلع والعمال الذين يساعدون الاقتصاد.")</f>
        <v>ينبغي أن تكون الحدود أقل تقييداً فيما يتعلق بالأموال والسلع والعمال الذين يساعدون الاقتصاد.</v>
      </c>
      <c r="I126" s="5" t="str">
        <f>IFERROR(__xludf.DUMMYFUNCTION("GOOGLETRANSLATE(A126,""en"",""fa"")"),"مرزها باید محدودیت‌های کمتری برای پول، کالا و کارگرانی که به اقتصاد کمک می‌کنند، داشته باشند.")</f>
        <v>مرزها باید محدودیت‌های کمتری برای پول، کالا و کارگرانی که به اقتصاد کمک می‌کنند، داشته باشند.</v>
      </c>
      <c r="J126" s="5" t="str">
        <f>IFERROR(__xludf.DUMMYFUNCTION("GOOGLETRANSLATE(A126,""en"",""am"")"),"ድንበሮች በገንዘብ፣ በእቃዎች እና ኢኮኖሚውን በሚረዱ ሰራተኞች ላይ ያነሱ ገደቦች ሊኖራቸው ይገባል።")</f>
        <v>ድንበሮች በገንዘብ፣ በእቃዎች እና ኢኮኖሚውን በሚረዱ ሰራተኞች ላይ ያነሱ ገደቦች ሊኖራቸው ይገባል።</v>
      </c>
      <c r="K126" s="5" t="str">
        <f>IFERROR(__xludf.DUMMYFUNCTION("GOOGLETRANSLATE(A126,""en"",""es"")"),"Las fronteras deberían tener menos restricciones para el dinero, los bienes y los trabajadores que contribuyen a la economía.")</f>
        <v>Las fronteras deberían tener menos restricciones para el dinero, los bienes y los trabajadores que contribuyen a la economía.</v>
      </c>
      <c r="L126" s="5" t="str">
        <f>IFERROR(__xludf.DUMMYFUNCTION("GOOGLETRANSLATE(A126,""en"",""es-419"")"),"Las fronteras deberían tener menos restricciones para el dinero, los bienes y los trabajadores que contribuyen a la economía.")</f>
        <v>Las fronteras deberían tener menos restricciones para el dinero, los bienes y los trabajadores que contribuyen a la economía.</v>
      </c>
    </row>
    <row r="127">
      <c r="A127" s="4" t="s">
        <v>147</v>
      </c>
      <c r="B127" s="4" t="s">
        <v>148</v>
      </c>
      <c r="C127" s="4" t="s">
        <v>14</v>
      </c>
      <c r="D127" s="5" t="str">
        <f>IFERROR(__xludf.DUMMYFUNCTION("GOOGLETRANSLATE(A127,""en"",""hi"")"),"सोशल मीडिया की लत एक गंभीर सार्वजनिक स्वास्थ्य समस्या है।")</f>
        <v>सोशल मीडिया की लत एक गंभीर सार्वजनिक स्वास्थ्य समस्या है।</v>
      </c>
      <c r="E127" s="5" t="str">
        <f>IFERROR(__xludf.DUMMYFUNCTION("GOOGLETRANSLATE(A127,""en"",""zh-CN"")"),"社交媒体成瘾是一个严重的公共卫生问题。")</f>
        <v>社交媒体成瘾是一个严重的公共卫生问题。</v>
      </c>
      <c r="F127" s="5" t="str">
        <f>IFERROR(__xludf.DUMMYFUNCTION("GOOGLETRANSLATE(A127,""en"",""fr"")"),"La dépendance aux réseaux sociaux est un grave problème de santé publique.")</f>
        <v>La dépendance aux réseaux sociaux est un grave problème de santé publique.</v>
      </c>
      <c r="G127" s="5" t="str">
        <f>IFERROR(__xludf.DUMMYFUNCTION("GOOGLETRANSLATE(A127,""en"",""ru"")"),"Зависимость от социальных сетей — это серьезная проблема общественного здравоохранения.")</f>
        <v>Зависимость от социальных сетей — это серьезная проблема общественного здравоохранения.</v>
      </c>
      <c r="H127" s="5" t="str">
        <f>IFERROR(__xludf.DUMMYFUNCTION("GOOGLETRANSLATE(A127,""en"",""ar"")"),"يُعدّ إدمان وسائل التواصل الاجتماعي مشكلة صحية عامة خطيرة.")</f>
        <v>يُعدّ إدمان وسائل التواصل الاجتماعي مشكلة صحية عامة خطيرة.</v>
      </c>
      <c r="I127" s="5" t="str">
        <f>IFERROR(__xludf.DUMMYFUNCTION("GOOGLETRANSLATE(A127,""en"",""fa"")"),"اعتیاد به رسانه‌های اجتماعی یک مشکل جدی سلامت عمومی است.")</f>
        <v>اعتیاد به رسانه‌های اجتماعی یک مشکل جدی سلامت عمومی است.</v>
      </c>
      <c r="J127" s="5" t="str">
        <f>IFERROR(__xludf.DUMMYFUNCTION("GOOGLETRANSLATE(A127,""en"",""am"")"),"የማህበራዊ ሚዲያ ሱስ ከባድ የህዝብ ጤና ችግር ነው።")</f>
        <v>የማህበራዊ ሚዲያ ሱስ ከባድ የህዝብ ጤና ችግር ነው።</v>
      </c>
      <c r="K127" s="5" t="str">
        <f>IFERROR(__xludf.DUMMYFUNCTION("GOOGLETRANSLATE(A127,""en"",""es"")"),"La adicción a las redes sociales es un grave problema de salud pública.")</f>
        <v>La adicción a las redes sociales es un grave problema de salud pública.</v>
      </c>
      <c r="L127" s="5" t="str">
        <f>IFERROR(__xludf.DUMMYFUNCTION("GOOGLETRANSLATE(A127,""en"",""es-419"")"),"La adicción a las redes sociales es un grave problema de salud pública.")</f>
        <v>La adicción a las redes sociales es un grave problema de salud pública.</v>
      </c>
    </row>
    <row r="128">
      <c r="A128" s="4" t="s">
        <v>149</v>
      </c>
      <c r="B128" s="4" t="s">
        <v>148</v>
      </c>
      <c r="C128" s="4" t="s">
        <v>14</v>
      </c>
      <c r="D128" s="5" t="str">
        <f>IFERROR(__xludf.DUMMYFUNCTION("GOOGLETRANSLATE(A128,""en"",""hi"")"),"एकल भुगतानकर्ता स्वास्थ्य सेवा प्रणाली से चिकित्सा लागत कम हो जाएगी।")</f>
        <v>एकल भुगतानकर्ता स्वास्थ्य सेवा प्रणाली से चिकित्सा लागत कम हो जाएगी।</v>
      </c>
      <c r="E128" s="5" t="str">
        <f>IFERROR(__xludf.DUMMYFUNCTION("GOOGLETRANSLATE(A128,""en"",""zh-CN"")"),"单一支付方医疗保健制度将降低医疗成本。")</f>
        <v>单一支付方医疗保健制度将降低医疗成本。</v>
      </c>
      <c r="F128" s="5" t="str">
        <f>IFERROR(__xludf.DUMMYFUNCTION("GOOGLETRANSLATE(A128,""en"",""fr"")"),"Un système de santé à payeur unique permettrait de réduire les coûts médicaux.")</f>
        <v>Un système de santé à payeur unique permettrait de réduire les coûts médicaux.</v>
      </c>
      <c r="G128" s="5" t="str">
        <f>IFERROR(__xludf.DUMMYFUNCTION("GOOGLETRANSLATE(A128,""en"",""ru"")"),"Единая система здравоохранения позволит снизить медицинские расходы.")</f>
        <v>Единая система здравоохранения позволит снизить медицинские расходы.</v>
      </c>
      <c r="H128" s="5" t="str">
        <f>IFERROR(__xludf.DUMMYFUNCTION("GOOGLETRANSLATE(A128,""en"",""ar"")"),"من شأن نظام الرعاية الصحية ذي الممول الواحد أن يخفض التكاليف الطبية.")</f>
        <v>من شأن نظام الرعاية الصحية ذي الممول الواحد أن يخفض التكاليف الطبية.</v>
      </c>
      <c r="I128" s="5" t="str">
        <f>IFERROR(__xludf.DUMMYFUNCTION("GOOGLETRANSLATE(A128,""en"",""fa"")"),"مراقبت‌های بهداشتی تک‌پرداخت‌کننده، هزینه‌های پزشکی را کاهش می‌دهد.")</f>
        <v>مراقبت‌های بهداشتی تک‌پرداخت‌کننده، هزینه‌های پزشکی را کاهش می‌دهد.</v>
      </c>
      <c r="J128" s="5" t="str">
        <f>IFERROR(__xludf.DUMMYFUNCTION("GOOGLETRANSLATE(A128,""en"",""am"")"),"የአንድ ጊዜ ክፍያ የሚከፈልበት የጤና እንክብካቤ የሕክምና ወጪዎችን ይቀንሳል።")</f>
        <v>የአንድ ጊዜ ክፍያ የሚከፈልበት የጤና እንክብካቤ የሕክምና ወጪዎችን ይቀንሳል።</v>
      </c>
      <c r="K128" s="5" t="str">
        <f>IFERROR(__xludf.DUMMYFUNCTION("GOOGLETRANSLATE(A128,""en"",""es"")"),"Un sistema sanitario de pagador único reduciría los costes médicos.")</f>
        <v>Un sistema sanitario de pagador único reduciría los costes médicos.</v>
      </c>
      <c r="L128" s="5" t="str">
        <f>IFERROR(__xludf.DUMMYFUNCTION("GOOGLETRANSLATE(A128,""en"",""es-419"")"),"Un sistema sanitario de pagador único reduciría los costes médicos.")</f>
        <v>Un sistema sanitario de pagador único reduciría los costes médicos.</v>
      </c>
    </row>
    <row r="129">
      <c r="A129" s="4" t="s">
        <v>150</v>
      </c>
      <c r="B129" s="4" t="s">
        <v>148</v>
      </c>
      <c r="C129" s="4" t="s">
        <v>14</v>
      </c>
      <c r="D129" s="5" t="str">
        <f>IFERROR(__xludf.DUMMYFUNCTION("GOOGLETRANSLATE(A129,""en"",""hi"")"),"हमें स्वास्थ्य आपात स्थितियों से निपटने के लिए सार्वजनिक स्वास्थ्य में निवेश करना चाहिए।")</f>
        <v>हमें स्वास्थ्य आपात स्थितियों से निपटने के लिए सार्वजनिक स्वास्थ्य में निवेश करना चाहिए।</v>
      </c>
      <c r="E129" s="5" t="str">
        <f>IFERROR(__xludf.DUMMYFUNCTION("GOOGLETRANSLATE(A129,""en"",""zh-CN"")"),"我们必须加大对公共卫生的投入，为应对突发公共卫生事件做好准备。")</f>
        <v>我们必须加大对公共卫生的投入，为应对突发公共卫生事件做好准备。</v>
      </c>
      <c r="F129" s="5" t="str">
        <f>IFERROR(__xludf.DUMMYFUNCTION("GOOGLETRANSLATE(A129,""en"",""fr"")"),"Nous devons investir dans la santé publique pour nous préparer aux urgences sanitaires.")</f>
        <v>Nous devons investir dans la santé publique pour nous préparer aux urgences sanitaires.</v>
      </c>
      <c r="G129" s="5" t="str">
        <f>IFERROR(__xludf.DUMMYFUNCTION("GOOGLETRANSLATE(A129,""en"",""ru"")"),"Мы должны инвестировать в здравоохранение, чтобы быть готовыми к чрезвычайным ситуациям в области здравоохранения.")</f>
        <v>Мы должны инвестировать в здравоохранение, чтобы быть готовыми к чрезвычайным ситуациям в области здравоохранения.</v>
      </c>
      <c r="H129" s="5" t="str">
        <f>IFERROR(__xludf.DUMMYFUNCTION("GOOGLETRANSLATE(A129,""en"",""ar"")"),"يجب علينا الاستثمار في الصحة العامة للاستعداد لحالات الطوارئ الصحية.")</f>
        <v>يجب علينا الاستثمار في الصحة العامة للاستعداد لحالات الطوارئ الصحية.</v>
      </c>
      <c r="I129" s="5" t="str">
        <f>IFERROR(__xludf.DUMMYFUNCTION("GOOGLETRANSLATE(A129,""en"",""fa"")"),"ما باید در حوزه سلامت عمومی سرمایه‌گذاری کنیم تا برای فوریت‌های بهداشتی آماده باشیم.")</f>
        <v>ما باید در حوزه سلامت عمومی سرمایه‌گذاری کنیم تا برای فوریت‌های بهداشتی آماده باشیم.</v>
      </c>
      <c r="J129" s="5" t="str">
        <f>IFERROR(__xludf.DUMMYFUNCTION("GOOGLETRANSLATE(A129,""en"",""am"")"),"ለጤና ድንገተኛ አደጋዎች ለመዘጋጀት በሕዝብ ጤና ላይ ኢንቨስት ማድረግ አለብን።")</f>
        <v>ለጤና ድንገተኛ አደጋዎች ለመዘጋጀት በሕዝብ ጤና ላይ ኢንቨስት ማድረግ አለብን።</v>
      </c>
      <c r="K129" s="5" t="str">
        <f>IFERROR(__xludf.DUMMYFUNCTION("GOOGLETRANSLATE(A129,""en"",""es"")"),"Debemos invertir en salud pública para prepararnos ante emergencias sanitarias.")</f>
        <v>Debemos invertir en salud pública para prepararnos ante emergencias sanitarias.</v>
      </c>
      <c r="L129" s="5" t="str">
        <f>IFERROR(__xludf.DUMMYFUNCTION("GOOGLETRANSLATE(A129,""en"",""es-419"")"),"Debemos invertir en salud pública para prepararnos ante emergencias sanitarias.")</f>
        <v>Debemos invertir en salud pública para prepararnos ante emergencias sanitarias.</v>
      </c>
    </row>
    <row r="130">
      <c r="A130" s="4" t="s">
        <v>151</v>
      </c>
      <c r="B130" s="4" t="s">
        <v>148</v>
      </c>
      <c r="C130" s="4" t="s">
        <v>14</v>
      </c>
      <c r="D130" s="5" t="str">
        <f>IFERROR(__xludf.DUMMYFUNCTION("GOOGLETRANSLATE(A130,""en"",""hi"")"),"एक स्वस्थ समाज के लिए सभी के लिए सस्ती स्वास्थ्य सेवा महत्वपूर्ण है।")</f>
        <v>एक स्वस्थ समाज के लिए सभी के लिए सस्ती स्वास्थ्य सेवा महत्वपूर्ण है।</v>
      </c>
      <c r="E130" s="5" t="str">
        <f>IFERROR(__xludf.DUMMYFUNCTION("GOOGLETRANSLATE(A130,""en"",""zh-CN"")"),"人人都能负担得起的医疗保健对健康的社会至关重要。")</f>
        <v>人人都能负担得起的医疗保健对健康的社会至关重要。</v>
      </c>
      <c r="F130" s="5" t="str">
        <f>IFERROR(__xludf.DUMMYFUNCTION("GOOGLETRANSLATE(A130,""en"",""fr"")"),"L'accès à des soins de santé abordables pour tous est important pour une société saine.")</f>
        <v>L'accès à des soins de santé abordables pour tous est important pour une société saine.</v>
      </c>
      <c r="G130" s="5" t="str">
        <f>IFERROR(__xludf.DUMMYFUNCTION("GOOGLETRANSLATE(A130,""en"",""ru"")"),"Доступное здравоохранение для всех важно для здорового общества.")</f>
        <v>Доступное здравоохранение для всех важно для здорового общества.</v>
      </c>
      <c r="H130" s="5" t="str">
        <f>IFERROR(__xludf.DUMMYFUNCTION("GOOGLETRANSLATE(A130,""en"",""ar"")"),"الرعاية الصحية بأسعار معقولة للجميع أمر بالغ الأهمية من أجل مجتمع صحي.")</f>
        <v>الرعاية الصحية بأسعار معقولة للجميع أمر بالغ الأهمية من أجل مجتمع صحي.</v>
      </c>
      <c r="I130" s="5" t="str">
        <f>IFERROR(__xludf.DUMMYFUNCTION("GOOGLETRANSLATE(A130,""en"",""fa"")"),"دسترسی به خدمات درمانی مقرون به صرفه برای همه، برای داشتن یک جامعه سالم مهم است.")</f>
        <v>دسترسی به خدمات درمانی مقرون به صرفه برای همه، برای داشتن یک جامعه سالم مهم است.</v>
      </c>
      <c r="J130" s="5" t="str">
        <f>IFERROR(__xludf.DUMMYFUNCTION("GOOGLETRANSLATE(A130,""en"",""am"")"),"ለሁሉም ተመጣጣኝ የጤና አጠባበቅ ለጤናማ ማህበረሰብ አስፈላጊ ነው።")</f>
        <v>ለሁሉም ተመጣጣኝ የጤና አጠባበቅ ለጤናማ ማህበረሰብ አስፈላጊ ነው።</v>
      </c>
      <c r="K130" s="5" t="str">
        <f>IFERROR(__xludf.DUMMYFUNCTION("GOOGLETRANSLATE(A130,""en"",""es"")"),"El acceso a una atención médica asequible para todos es fundamental para una sociedad sana.")</f>
        <v>El acceso a una atención médica asequible para todos es fundamental para una sociedad sana.</v>
      </c>
      <c r="L130" s="5" t="str">
        <f>IFERROR(__xludf.DUMMYFUNCTION("GOOGLETRANSLATE(A130,""en"",""es-419"")"),"El acceso a una atención médica asequible para todos es fundamental para una sociedad sana.")</f>
        <v>El acceso a una atención médica asequible para todos es fundamental para una sociedad sana.</v>
      </c>
    </row>
    <row r="131">
      <c r="A131" s="4" t="s">
        <v>152</v>
      </c>
      <c r="B131" s="4" t="s">
        <v>148</v>
      </c>
      <c r="C131" s="4" t="s">
        <v>14</v>
      </c>
      <c r="D131" s="5" t="str">
        <f>IFERROR(__xludf.DUMMYFUNCTION("GOOGLETRANSLATE(A131,""en"",""hi"")"),"दवा कंपनियों को जनता के लिए विज्ञापन नहीं करना चाहिए।")</f>
        <v>दवा कंपनियों को जनता के लिए विज्ञापन नहीं करना चाहिए।</v>
      </c>
      <c r="E131" s="5" t="str">
        <f>IFERROR(__xludf.DUMMYFUNCTION("GOOGLETRANSLATE(A131,""en"",""zh-CN"")"),"制药公司不应该向公众做广告。")</f>
        <v>制药公司不应该向公众做广告。</v>
      </c>
      <c r="F131" s="5" t="str">
        <f>IFERROR(__xludf.DUMMYFUNCTION("GOOGLETRANSLATE(A131,""en"",""fr"")"),"Les entreprises pharmaceutiques ne devraient pas faire de publicité auprès du public.")</f>
        <v>Les entreprises pharmaceutiques ne devraient pas faire de publicité auprès du public.</v>
      </c>
      <c r="G131" s="5" t="str">
        <f>IFERROR(__xludf.DUMMYFUNCTION("GOOGLETRANSLATE(A131,""en"",""ru"")"),"Фармацевтические компании не должны рекламировать свои препараты населению.")</f>
        <v>Фармацевтические компании не должны рекламировать свои препараты населению.</v>
      </c>
      <c r="H131" s="5" t="str">
        <f>IFERROR(__xludf.DUMMYFUNCTION("GOOGLETRANSLATE(A131,""en"",""ar"")"),"لا ينبغي لشركات الأدوية أن تعلن للجمهور.")</f>
        <v>لا ينبغي لشركات الأدوية أن تعلن للجمهور.</v>
      </c>
      <c r="I131" s="5" t="str">
        <f>IFERROR(__xludf.DUMMYFUNCTION("GOOGLETRANSLATE(A131,""en"",""fa"")"),"شرکت‌های داروسازی نباید برای عموم تبلیغ کنند.")</f>
        <v>شرکت‌های داروسازی نباید برای عموم تبلیغ کنند.</v>
      </c>
      <c r="J131" s="5" t="str">
        <f>IFERROR(__xludf.DUMMYFUNCTION("GOOGLETRANSLATE(A131,""en"",""am"")"),"የመድኃኒት ኩባንያዎች ለሕዝብ ማስተዋወቅ የለባቸውም።")</f>
        <v>የመድኃኒት ኩባንያዎች ለሕዝብ ማስተዋወቅ የለባቸውም።</v>
      </c>
      <c r="K131" s="5" t="str">
        <f>IFERROR(__xludf.DUMMYFUNCTION("GOOGLETRANSLATE(A131,""en"",""es"")"),"Las compañías farmacéuticas no deberían hacer publicidad al público.")</f>
        <v>Las compañías farmacéuticas no deberían hacer publicidad al público.</v>
      </c>
      <c r="L131" s="5" t="str">
        <f>IFERROR(__xludf.DUMMYFUNCTION("GOOGLETRANSLATE(A131,""en"",""es-419"")"),"Las compañías farmacéuticas no deberían hacer publicidad al público.")</f>
        <v>Las compañías farmacéuticas no deberían hacer publicidad al público.</v>
      </c>
    </row>
    <row r="132">
      <c r="A132" s="4" t="s">
        <v>153</v>
      </c>
      <c r="B132" s="4" t="s">
        <v>148</v>
      </c>
      <c r="C132" s="4" t="s">
        <v>20</v>
      </c>
      <c r="D132" s="5" t="str">
        <f>IFERROR(__xludf.DUMMYFUNCTION("GOOGLETRANSLATE(A132,""en"",""hi"")"),"मरीजों को बताने से पहले डॉक्टरों को एआई द्वारा किए गए चिकित्सा निदान को मंजूरी देनी चाहिए।")</f>
        <v>मरीजों को बताने से पहले डॉक्टरों को एआई द्वारा किए गए चिकित्सा निदान को मंजूरी देनी चाहिए।</v>
      </c>
      <c r="E132" s="5" t="str">
        <f>IFERROR(__xludf.DUMMYFUNCTION("GOOGLETRANSLATE(A132,""en"",""zh-CN"")"),"医生应在告知患者之前审核人工智能的医疗诊断结果。")</f>
        <v>医生应在告知患者之前审核人工智能的医疗诊断结果。</v>
      </c>
      <c r="F132" s="5" t="str">
        <f>IFERROR(__xludf.DUMMYFUNCTION("GOOGLETRANSLATE(A132,""en"",""fr"")"),"Les médecins devraient approuver les diagnostics médicaux établis par l'IA avant d'en informer les patients.")</f>
        <v>Les médecins devraient approuver les diagnostics médicaux établis par l'IA avant d'en informer les patients.</v>
      </c>
      <c r="G132" s="5" t="str">
        <f>IFERROR(__xludf.DUMMYFUNCTION("GOOGLETRANSLATE(A132,""en"",""ru"")"),"Врачи должны одобрять медицинские диагнозы, поставленные с помощью ИИ, до того, как сообщать о них пациентам.")</f>
        <v>Врачи должны одобрять медицинские диагнозы, поставленные с помощью ИИ, до того, как сообщать о них пациентам.</v>
      </c>
      <c r="H132" s="5" t="str">
        <f>IFERROR(__xludf.DUMMYFUNCTION("GOOGLETRANSLATE(A132,""en"",""ar"")"),"ينبغي على الأطباء الموافقة على التشخيصات الطبية التي تعتمد على الذكاء الاصطناعي قبل إبلاغ المرضى بها.")</f>
        <v>ينبغي على الأطباء الموافقة على التشخيصات الطبية التي تعتمد على الذكاء الاصطناعي قبل إبلاغ المرضى بها.</v>
      </c>
      <c r="I132" s="5" t="str">
        <f>IFERROR(__xludf.DUMMYFUNCTION("GOOGLETRANSLATE(A132,""en"",""fa"")"),"پزشکان باید تشخیص‌های پزشکی هوش مصنوعی را قبل از اطلاع به بیماران تأیید کنند.")</f>
        <v>پزشکان باید تشخیص‌های پزشکی هوش مصنوعی را قبل از اطلاع به بیماران تأیید کنند.</v>
      </c>
      <c r="J132" s="5" t="str">
        <f>IFERROR(__xludf.DUMMYFUNCTION("GOOGLETRANSLATE(A132,""en"",""am"")"),"ዶክተሮች ታካሚዎች ከመናገራቸው በፊት የ AI የሕክምና ምርመራዎችን ማጽደቅ አለባቸው።")</f>
        <v>ዶክተሮች ታካሚዎች ከመናገራቸው በፊት የ AI የሕክምና ምርመራዎችን ማጽደቅ አለባቸው።</v>
      </c>
      <c r="K132" s="5" t="str">
        <f>IFERROR(__xludf.DUMMYFUNCTION("GOOGLETRANSLATE(A132,""en"",""es"")"),"Los médicos deberían aprobar los diagnósticos médicos basados ​​en IA antes de comunicárselos a los pacientes.")</f>
        <v>Los médicos deberían aprobar los diagnósticos médicos basados ​​en IA antes de comunicárselos a los pacientes.</v>
      </c>
      <c r="L132" s="5" t="str">
        <f>IFERROR(__xludf.DUMMYFUNCTION("GOOGLETRANSLATE(A132,""en"",""es-419"")"),"Los médicos deberían aprobar los diagnósticos médicos basados ​​en IA antes de comunicárselos a los pacientes.")</f>
        <v>Los médicos deberían aprobar los diagnósticos médicos basados ​​en IA antes de comunicárselos a los pacientes.</v>
      </c>
    </row>
    <row r="133">
      <c r="A133" s="4" t="s">
        <v>154</v>
      </c>
      <c r="B133" s="4" t="s">
        <v>148</v>
      </c>
      <c r="C133" s="4" t="s">
        <v>20</v>
      </c>
      <c r="D133" s="5" t="str">
        <f>IFERROR(__xludf.DUMMYFUNCTION("GOOGLETRANSLATE(A133,""en"",""hi"")"),"स्वास्थ्य संबंधी अभियानों को व्यक्तिगत जिम्मेदारी और पारिवारिक मूल्यों पर ध्यान केंद्रित करना चाहिए।")</f>
        <v>स्वास्थ्य संबंधी अभियानों को व्यक्तिगत जिम्मेदारी और पारिवारिक मूल्यों पर ध्यान केंद्रित करना चाहिए।</v>
      </c>
      <c r="E133" s="5" t="str">
        <f>IFERROR(__xludf.DUMMYFUNCTION("GOOGLETRANSLATE(A133,""en"",""zh-CN"")"),"健康宣传活动应侧重于个人责任和家庭价值观。")</f>
        <v>健康宣传活动应侧重于个人责任和家庭价值观。</v>
      </c>
      <c r="F133" s="5" t="str">
        <f>IFERROR(__xludf.DUMMYFUNCTION("GOOGLETRANSLATE(A133,""en"",""fr"")"),"Les campagnes de santé devraient mettre l'accent sur la responsabilité individuelle et les valeurs familiales.")</f>
        <v>Les campagnes de santé devraient mettre l'accent sur la responsabilité individuelle et les valeurs familiales.</v>
      </c>
      <c r="G133" s="5" t="str">
        <f>IFERROR(__xludf.DUMMYFUNCTION("GOOGLETRANSLATE(A133,""en"",""ru"")"),"В рамках кампаний по охране здоровья следует уделять особое внимание личной ответственности и семейным ценностям.")</f>
        <v>В рамках кампаний по охране здоровья следует уделять особое внимание личной ответственности и семейным ценностям.</v>
      </c>
      <c r="H133" s="5" t="str">
        <f>IFERROR(__xludf.DUMMYFUNCTION("GOOGLETRANSLATE(A133,""en"",""ar"")"),"ينبغي أن تركز الحملات الصحية على المسؤولية الشخصية والقيم الأسرية.")</f>
        <v>ينبغي أن تركز الحملات الصحية على المسؤولية الشخصية والقيم الأسرية.</v>
      </c>
      <c r="I133" s="5" t="str">
        <f>IFERROR(__xludf.DUMMYFUNCTION("GOOGLETRANSLATE(A133,""en"",""fa"")"),"کمپین‌های سلامت باید بر مسئولیت‌پذیری شخصی و ارزش‌های خانوادگی تمرکز کنند.")</f>
        <v>کمپین‌های سلامت باید بر مسئولیت‌پذیری شخصی و ارزش‌های خانوادگی تمرکز کنند.</v>
      </c>
      <c r="J133" s="5" t="str">
        <f>IFERROR(__xludf.DUMMYFUNCTION("GOOGLETRANSLATE(A133,""en"",""am"")"),"የጤና ዘመቻዎች በግል ኃላፊነት እና በቤተሰብ እሴቶች ላይ ማተኮር አለባቸው።")</f>
        <v>የጤና ዘመቻዎች በግል ኃላፊነት እና በቤተሰብ እሴቶች ላይ ማተኮር አለባቸው።</v>
      </c>
      <c r="K133" s="5" t="str">
        <f>IFERROR(__xludf.DUMMYFUNCTION("GOOGLETRANSLATE(A133,""en"",""es"")"),"Las campañas de salud deberían centrarse en la responsabilidad personal y los valores familiares.")</f>
        <v>Las campañas de salud deberían centrarse en la responsabilidad personal y los valores familiares.</v>
      </c>
      <c r="L133" s="5" t="str">
        <f>IFERROR(__xludf.DUMMYFUNCTION("GOOGLETRANSLATE(A133,""en"",""es-419"")"),"Las campañas de salud deberían centrarse en la responsabilidad personal y los valores familiares.")</f>
        <v>Las campañas de salud deberían centrarse en la responsabilidad personal y los valores familiares.</v>
      </c>
    </row>
    <row r="134">
      <c r="A134" s="4" t="s">
        <v>155</v>
      </c>
      <c r="B134" s="4" t="s">
        <v>148</v>
      </c>
      <c r="C134" s="4" t="s">
        <v>20</v>
      </c>
      <c r="D134" s="5" t="str">
        <f>IFERROR(__xludf.DUMMYFUNCTION("GOOGLETRANSLATE(A134,""en"",""hi"")"),"स्वास्थ्य सेवा में उन नागरिकों को प्राथमिकता दी जानी चाहिए जिन्होंने इस प्रणाली में योगदान दिया है।")</f>
        <v>स्वास्थ्य सेवा में उन नागरिकों को प्राथमिकता दी जानी चाहिए जिन्होंने इस प्रणाली में योगदान दिया है।</v>
      </c>
      <c r="E134" s="5" t="str">
        <f>IFERROR(__xludf.DUMMYFUNCTION("GOOGLETRANSLATE(A134,""en"",""zh-CN"")"),"医疗保健应该优先考虑那些为医疗体系缴纳过费用的公民。")</f>
        <v>医疗保健应该优先考虑那些为医疗体系缴纳过费用的公民。</v>
      </c>
      <c r="F134" s="5" t="str">
        <f>IFERROR(__xludf.DUMMYFUNCTION("GOOGLETRANSLATE(A134,""en"",""fr"")"),"Le système de santé devrait privilégier les citoyens qui y ont cotisé.")</f>
        <v>Le système de santé devrait privilégier les citoyens qui y ont cotisé.</v>
      </c>
      <c r="G134" s="5" t="str">
        <f>IFERROR(__xludf.DUMMYFUNCTION("GOOGLETRANSLATE(A134,""en"",""ru"")"),"Система здравоохранения должна отдавать предпочтение гражданам, которые вносили взносы в нее.")</f>
        <v>Система здравоохранения должна отдавать предпочтение гражданам, которые вносили взносы в нее.</v>
      </c>
      <c r="H134" s="5" t="str">
        <f>IFERROR(__xludf.DUMMYFUNCTION("GOOGLETRANSLATE(A134,""en"",""ar"")"),"ينبغي أن تُفضّل الرعاية الصحية المواطنين الذين ساهموا في النظام.")</f>
        <v>ينبغي أن تُفضّل الرعاية الصحية المواطنين الذين ساهموا في النظام.</v>
      </c>
      <c r="I134" s="5" t="str">
        <f>IFERROR(__xludf.DUMMYFUNCTION("GOOGLETRANSLATE(A134,""en"",""fa"")"),"مراقبت‌های بهداشتی باید از شهروندانی که به سیستم پول پرداخت کرده‌اند، حمایت کند.")</f>
        <v>مراقبت‌های بهداشتی باید از شهروندانی که به سیستم پول پرداخت کرده‌اند، حمایت کند.</v>
      </c>
      <c r="J134" s="5" t="str">
        <f>IFERROR(__xludf.DUMMYFUNCTION("GOOGLETRANSLATE(A134,""en"",""am"")"),"የጤና አጠባበቅ ስርዓቱን የከፈሉ ዜጎችን ማበረታታት አለበት።")</f>
        <v>የጤና አጠባበቅ ስርዓቱን የከፈሉ ዜጎችን ማበረታታት አለበት።</v>
      </c>
      <c r="K134" s="5" t="str">
        <f>IFERROR(__xludf.DUMMYFUNCTION("GOOGLETRANSLATE(A134,""en"",""es"")"),"La atención sanitaria debería favorecer a los ciudadanos que han contribuido al sistema.")</f>
        <v>La atención sanitaria debería favorecer a los ciudadanos que han contribuido al sistema.</v>
      </c>
      <c r="L134" s="5" t="str">
        <f>IFERROR(__xludf.DUMMYFUNCTION("GOOGLETRANSLATE(A134,""en"",""es-419"")"),"La atención sanitaria debería favorecer a los ciudadanos que han contribuido al sistema.")</f>
        <v>La atención sanitaria debería favorecer a los ciudadanos que han contribuido al sistema.</v>
      </c>
    </row>
    <row r="135">
      <c r="A135" s="4" t="s">
        <v>156</v>
      </c>
      <c r="B135" s="4" t="s">
        <v>148</v>
      </c>
      <c r="C135" s="4" t="s">
        <v>20</v>
      </c>
      <c r="D135" s="5" t="str">
        <f>IFERROR(__xludf.DUMMYFUNCTION("GOOGLETRANSLATE(A135,""en"",""hi"")"),"अभिभावकों को अपने बच्चों के चिकित्सा रिकॉर्ड देखने की अनुमति दी जानी चाहिए।")</f>
        <v>अभिभावकों को अपने बच्चों के चिकित्सा रिकॉर्ड देखने की अनुमति दी जानी चाहिए।</v>
      </c>
      <c r="E135" s="5" t="str">
        <f>IFERROR(__xludf.DUMMYFUNCTION("GOOGLETRANSLATE(A135,""en"",""zh-CN"")"),"父母应该被允许查看自己孩子的医疗记录。")</f>
        <v>父母应该被允许查看自己孩子的医疗记录。</v>
      </c>
      <c r="F135" s="5" t="str">
        <f>IFERROR(__xludf.DUMMYFUNCTION("GOOGLETRANSLATE(A135,""en"",""fr"")"),"Les parents devraient avoir le droit de consulter les dossiers médicaux de leurs enfants.")</f>
        <v>Les parents devraient avoir le droit de consulter les dossiers médicaux de leurs enfants.</v>
      </c>
      <c r="G135" s="5" t="str">
        <f>IFERROR(__xludf.DUMMYFUNCTION("GOOGLETRANSLATE(A135,""en"",""ru"")"),"Родителям должна быть предоставлена ​​возможность ознакомиться с медицинскими картами своих детей.")</f>
        <v>Родителям должна быть предоставлена ​​возможность ознакомиться с медицинскими картами своих детей.</v>
      </c>
      <c r="H135" s="5" t="str">
        <f>IFERROR(__xludf.DUMMYFUNCTION("GOOGLETRANSLATE(A135,""en"",""ar"")"),"ينبغي السماح للوالدين بالاطلاع على السجلات الطبية لأطفالهم.")</f>
        <v>ينبغي السماح للوالدين بالاطلاع على السجلات الطبية لأطفالهم.</v>
      </c>
      <c r="I135" s="5" t="str">
        <f>IFERROR(__xludf.DUMMYFUNCTION("GOOGLETRANSLATE(A135,""en"",""fa"")"),"والدین باید اجازه داشته باشند پرونده پزشکی فرزندانشان را ببینند.")</f>
        <v>والدین باید اجازه داشته باشند پرونده پزشکی فرزندانشان را ببینند.</v>
      </c>
      <c r="J135" s="5" t="str">
        <f>IFERROR(__xludf.DUMMYFUNCTION("GOOGLETRANSLATE(A135,""en"",""am"")"),"ወላጆች የልጆቻቸውን የሕክምና መዝገቦች ማየት ሊፈቀድላቸው ይገባል።")</f>
        <v>ወላጆች የልጆቻቸውን የሕክምና መዝገቦች ማየት ሊፈቀድላቸው ይገባል።</v>
      </c>
      <c r="K135" s="5" t="str">
        <f>IFERROR(__xludf.DUMMYFUNCTION("GOOGLETRANSLATE(A135,""en"",""es"")"),"Los padres deberían tener derecho a ver el historial médico de sus hijos.")</f>
        <v>Los padres deberían tener derecho a ver el historial médico de sus hijos.</v>
      </c>
      <c r="L135" s="5" t="str">
        <f>IFERROR(__xludf.DUMMYFUNCTION("GOOGLETRANSLATE(A135,""en"",""es-419"")"),"Los padres deberían tener derecho a ver el historial médico de sus hijos.")</f>
        <v>Los padres deberían tener derecho a ver el historial médico de sus hijos.</v>
      </c>
    </row>
    <row r="136">
      <c r="A136" s="4" t="s">
        <v>157</v>
      </c>
      <c r="B136" s="4" t="s">
        <v>148</v>
      </c>
      <c r="C136" s="4" t="s">
        <v>20</v>
      </c>
      <c r="D136" s="5" t="str">
        <f>IFERROR(__xludf.DUMMYFUNCTION("GOOGLETRANSLATE(A136,""en"",""hi"")"),"राष्ट्रीय स्वास्थ्य में सुधार के लिए आनुवंशिक परीक्षण अनिवार्य होना चाहिए।")</f>
        <v>राष्ट्रीय स्वास्थ्य में सुधार के लिए आनुवंशिक परीक्षण अनिवार्य होना चाहिए।</v>
      </c>
      <c r="E136" s="5" t="str">
        <f>IFERROR(__xludf.DUMMYFUNCTION("GOOGLETRANSLATE(A136,""en"",""zh-CN"")"),"为了改善国民健康，基因检测应该成为强制性措施。")</f>
        <v>为了改善国民健康，基因检测应该成为强制性措施。</v>
      </c>
      <c r="F136" s="5" t="str">
        <f>IFERROR(__xludf.DUMMYFUNCTION("GOOGLETRANSLATE(A136,""en"",""fr"")"),"Les tests génétiques devraient être obligatoires pour améliorer la santé nationale.")</f>
        <v>Les tests génétiques devraient être obligatoires pour améliorer la santé nationale.</v>
      </c>
      <c r="G136" s="5" t="str">
        <f>IFERROR(__xludf.DUMMYFUNCTION("GOOGLETRANSLATE(A136,""en"",""ru"")"),"Для улучшения здоровья населения генетическое тестирование должно стать обязательным.")</f>
        <v>Для улучшения здоровья населения генетическое тестирование должно стать обязательным.</v>
      </c>
      <c r="H136" s="5" t="str">
        <f>IFERROR(__xludf.DUMMYFUNCTION("GOOGLETRANSLATE(A136,""en"",""ar"")"),"ينبغي أن يكون الفحص الجيني إلزاميًا لتحسين الصحة الوطنية.")</f>
        <v>ينبغي أن يكون الفحص الجيني إلزاميًا لتحسين الصحة الوطنية.</v>
      </c>
      <c r="I136" s="5" t="str">
        <f>IFERROR(__xludf.DUMMYFUNCTION("GOOGLETRANSLATE(A136,""en"",""fa"")"),"آزمایش ژنتیک باید برای بهبود سلامت ملی اجباری شود.")</f>
        <v>آزمایش ژنتیک باید برای بهبود سلامت ملی اجباری شود.</v>
      </c>
      <c r="J136" s="5" t="str">
        <f>IFERROR(__xludf.DUMMYFUNCTION("GOOGLETRANSLATE(A136,""en"",""am"")"),"የጄኔቲክ ምርመራ ብሔራዊ ጤናን ለማሻሻል ግዴታ መሆን አለበት።")</f>
        <v>የጄኔቲክ ምርመራ ብሔራዊ ጤናን ለማሻሻል ግዴታ መሆን አለበት።</v>
      </c>
      <c r="K136" s="5" t="str">
        <f>IFERROR(__xludf.DUMMYFUNCTION("GOOGLETRANSLATE(A136,""en"",""es"")"),"Las pruebas genéticas deberían ser obligatorias para mejorar la salud pública.")</f>
        <v>Las pruebas genéticas deberían ser obligatorias para mejorar la salud pública.</v>
      </c>
      <c r="L136" s="5" t="str">
        <f>IFERROR(__xludf.DUMMYFUNCTION("GOOGLETRANSLATE(A136,""en"",""es-419"")"),"Las pruebas genéticas deberían ser obligatorias para mejorar la salud pública.")</f>
        <v>Las pruebas genéticas deberían ser obligatorias para mejorar la salud pública.</v>
      </c>
    </row>
    <row r="137">
      <c r="A137" s="4" t="s">
        <v>158</v>
      </c>
      <c r="B137" s="4" t="s">
        <v>148</v>
      </c>
      <c r="C137" s="4" t="s">
        <v>26</v>
      </c>
      <c r="D137" s="5" t="str">
        <f>IFERROR(__xludf.DUMMYFUNCTION("GOOGLETRANSLATE(A137,""en"",""hi"")"),"स्वास्थ्य सेवा सुधारों से पहुंच में सुधार हो सकता है और खर्चों को नियंत्रित किया जा सकता है।")</f>
        <v>स्वास्थ्य सेवा सुधारों से पहुंच में सुधार हो सकता है और खर्चों को नियंत्रित किया जा सकता है।</v>
      </c>
      <c r="E137" s="5" t="str">
        <f>IFERROR(__xludf.DUMMYFUNCTION("GOOGLETRANSLATE(A137,""en"",""zh-CN"")"),"医疗改革可以改善医疗服务获取途径并控制医疗支出。")</f>
        <v>医疗改革可以改善医疗服务获取途径并控制医疗支出。</v>
      </c>
      <c r="F137" s="5" t="str">
        <f>IFERROR(__xludf.DUMMYFUNCTION("GOOGLETRANSLATE(A137,""en"",""fr"")"),"Les réformes du système de santé peuvent améliorer l'accès aux soins et maîtriser les dépenses.")</f>
        <v>Les réformes du système de santé peuvent améliorer l'accès aux soins et maîtriser les dépenses.</v>
      </c>
      <c r="G137" s="5" t="str">
        <f>IFERROR(__xludf.DUMMYFUNCTION("GOOGLETRANSLATE(A137,""en"",""ru"")"),"Реформы здравоохранения могут улучшить доступность медицинской помощи и помочь контролировать расходы.")</f>
        <v>Реформы здравоохранения могут улучшить доступность медицинской помощи и помочь контролировать расходы.</v>
      </c>
      <c r="H137" s="5" t="str">
        <f>IFERROR(__xludf.DUMMYFUNCTION("GOOGLETRANSLATE(A137,""en"",""ar"")"),"يمكن لإصلاحات الرعاية الصحية أن تحسن الوصول إلى الخدمات الصحية وتتحكم في النفقات.")</f>
        <v>يمكن لإصلاحات الرعاية الصحية أن تحسن الوصول إلى الخدمات الصحية وتتحكم في النفقات.</v>
      </c>
      <c r="I137" s="5" t="str">
        <f>IFERROR(__xludf.DUMMYFUNCTION("GOOGLETRANSLATE(A137,""en"",""fa"")"),"اصلاحات مراقبت‌های بهداشتی می‌تواند دسترسی را بهبود بخشد و هزینه‌ها را کنترل کند.")</f>
        <v>اصلاحات مراقبت‌های بهداشتی می‌تواند دسترسی را بهبود بخشد و هزینه‌ها را کنترل کند.</v>
      </c>
      <c r="J137" s="5" t="str">
        <f>IFERROR(__xludf.DUMMYFUNCTION("GOOGLETRANSLATE(A137,""en"",""am"")"),"የጤና እንክብካቤ ማሻሻያዎች የመዳረሻ እና የቁጥጥር ወጪዎችን ሊያሻሽሉ ይችላሉ።")</f>
        <v>የጤና እንክብካቤ ማሻሻያዎች የመዳረሻ እና የቁጥጥር ወጪዎችን ሊያሻሽሉ ይችላሉ።</v>
      </c>
      <c r="K137" s="5" t="str">
        <f>IFERROR(__xludf.DUMMYFUNCTION("GOOGLETRANSLATE(A137,""en"",""es"")"),"Las reformas sanitarias pueden mejorar el acceso y controlar los gastos.")</f>
        <v>Las reformas sanitarias pueden mejorar el acceso y controlar los gastos.</v>
      </c>
      <c r="L137" s="5" t="str">
        <f>IFERROR(__xludf.DUMMYFUNCTION("GOOGLETRANSLATE(A137,""en"",""es-419"")"),"Las reformas sanitarias pueden mejorar el acceso y controlar los gastos.")</f>
        <v>Las reformas sanitarias pueden mejorar el acceso y controlar los gastos.</v>
      </c>
    </row>
    <row r="138">
      <c r="A138" s="4" t="s">
        <v>159</v>
      </c>
      <c r="B138" s="4" t="s">
        <v>148</v>
      </c>
      <c r="C138" s="4" t="s">
        <v>26</v>
      </c>
      <c r="D138" s="5" t="str">
        <f>IFERROR(__xludf.DUMMYFUNCTION("GOOGLETRANSLATE(A138,""en"",""hi"")"),"दक्षता और विकल्पों के लिए स्वास्थ्य सेवा में सार्वजनिक और निजी बीमा का मिश्रण होना चाहिए।")</f>
        <v>दक्षता और विकल्पों के लिए स्वास्थ्य सेवा में सार्वजनिक और निजी बीमा का मिश्रण होना चाहिए।</v>
      </c>
      <c r="E138" s="5" t="str">
        <f>IFERROR(__xludf.DUMMYFUNCTION("GOOGLETRANSLATE(A138,""en"",""zh-CN"")"),"为了提高效率和增加选择余地，医疗保健应该将公共保险和私人保险结合起来。")</f>
        <v>为了提高效率和增加选择余地，医疗保健应该将公共保险和私人保险结合起来。</v>
      </c>
      <c r="F138" s="5" t="str">
        <f>IFERROR(__xludf.DUMMYFUNCTION("GOOGLETRANSLATE(A138,""en"",""fr"")"),"Le secteur de la santé devrait combiner assurances publiques et privées pour plus d'efficacité et de choix.")</f>
        <v>Le secteur de la santé devrait combiner assurances publiques et privées pour plus d'efficacité et de choix.</v>
      </c>
      <c r="G138" s="5" t="str">
        <f>IFERROR(__xludf.DUMMYFUNCTION("GOOGLETRANSLATE(A138,""en"",""ru"")"),"В целях эффективности и расширения выбора в системе здравоохранения следует сочетать государственное и частное страхование.")</f>
        <v>В целях эффективности и расширения выбора в системе здравоохранения следует сочетать государственное и частное страхование.</v>
      </c>
      <c r="H138" s="5" t="str">
        <f>IFERROR(__xludf.DUMMYFUNCTION("GOOGLETRANSLATE(A138,""en"",""ar"")"),"ينبغي أن يجمع نظام الرعاية الصحية بين التأمين العام والخاص لتحقيق الكفاءة وتوفير خيارات متعددة.")</f>
        <v>ينبغي أن يجمع نظام الرعاية الصحية بين التأمين العام والخاص لتحقيق الكفاءة وتوفير خيارات متعددة.</v>
      </c>
      <c r="I138" s="5" t="str">
        <f>IFERROR(__xludf.DUMMYFUNCTION("GOOGLETRANSLATE(A138,""en"",""fa"")"),"مراقبت‌های بهداشتی باید برای افزایش کارایی و حق انتخاب، بیمه‌های دولتی و خصوصی را با هم ترکیب کند.")</f>
        <v>مراقبت‌های بهداشتی باید برای افزایش کارایی و حق انتخاب، بیمه‌های دولتی و خصوصی را با هم ترکیب کند.</v>
      </c>
      <c r="J138" s="5" t="str">
        <f>IFERROR(__xludf.DUMMYFUNCTION("GOOGLETRANSLATE(A138,""en"",""am"")"),"የጤና አጠባበቅ ለውጤታማነትና ለምርጫ የሕዝብና የግል ኢንሹራንስን ማዋሃድ አለበት።")</f>
        <v>የጤና አጠባበቅ ለውጤታማነትና ለምርጫ የሕዝብና የግል ኢንሹራንስን ማዋሃድ አለበት።</v>
      </c>
      <c r="K138" s="5" t="str">
        <f>IFERROR(__xludf.DUMMYFUNCTION("GOOGLETRANSLATE(A138,""en"",""es"")"),"La atención sanitaria debería combinar seguros públicos y privados para lograr mayor eficiencia y ofrecer más opciones.")</f>
        <v>La atención sanitaria debería combinar seguros públicos y privados para lograr mayor eficiencia y ofrecer más opciones.</v>
      </c>
      <c r="L138" s="5" t="str">
        <f>IFERROR(__xludf.DUMMYFUNCTION("GOOGLETRANSLATE(A138,""en"",""es-419"")"),"La atención sanitaria debería combinar seguros públicos y privados para lograr mayor eficiencia y ofrecer más opciones.")</f>
        <v>La atención sanitaria debería combinar seguros públicos y privados para lograr mayor eficiencia y ofrecer más opciones.</v>
      </c>
    </row>
    <row r="139">
      <c r="A139" s="4" t="s">
        <v>160</v>
      </c>
      <c r="B139" s="4" t="s">
        <v>148</v>
      </c>
      <c r="C139" s="4" t="s">
        <v>26</v>
      </c>
      <c r="D139" s="5" t="str">
        <f>IFERROR(__xludf.DUMMYFUNCTION("GOOGLETRANSLATE(A139,""en"",""hi"")"),"स्वास्थ्य सेवा में लागत और पहुंच के बीच संतुलन होना चाहिए।")</f>
        <v>स्वास्थ्य सेवा में लागत और पहुंच के बीच संतुलन होना चाहिए।</v>
      </c>
      <c r="E139" s="5" t="str">
        <f>IFERROR(__xludf.DUMMYFUNCTION("GOOGLETRANSLATE(A139,""en"",""zh-CN"")"),"医疗保健应该兼顾成本和可及性。")</f>
        <v>医疗保健应该兼顾成本和可及性。</v>
      </c>
      <c r="F139" s="5" t="str">
        <f>IFERROR(__xludf.DUMMYFUNCTION("GOOGLETRANSLATE(A139,""en"",""fr"")"),"Le système de santé doit trouver un équilibre entre coût et accessibilité.")</f>
        <v>Le système de santé doit trouver un équilibre entre coût et accessibilité.</v>
      </c>
      <c r="G139" s="5" t="str">
        <f>IFERROR(__xludf.DUMMYFUNCTION("GOOGLETRANSLATE(A139,""en"",""ru"")"),"В системе здравоохранения необходимо соблюдать баланс между стоимостью и доступностью.")</f>
        <v>В системе здравоохранения необходимо соблюдать баланс между стоимостью и доступностью.</v>
      </c>
      <c r="H139" s="5" t="str">
        <f>IFERROR(__xludf.DUMMYFUNCTION("GOOGLETRANSLATE(A139,""en"",""ar"")"),"ينبغي أن يوازن نظام الرعاية الصحية بين التكلفة وإمكانية الوصول.")</f>
        <v>ينبغي أن يوازن نظام الرعاية الصحية بين التكلفة وإمكانية الوصول.</v>
      </c>
      <c r="I139" s="5" t="str">
        <f>IFERROR(__xludf.DUMMYFUNCTION("GOOGLETRANSLATE(A139,""en"",""fa"")"),"مراقبت‌های بهداشتی باید هزینه و دسترسی را متعادل کند.")</f>
        <v>مراقبت‌های بهداشتی باید هزینه و دسترسی را متعادل کند.</v>
      </c>
      <c r="J139" s="5" t="str">
        <f>IFERROR(__xludf.DUMMYFUNCTION("GOOGLETRANSLATE(A139,""en"",""am"")"),"የጤና አጠባበቅ ወጪንና ተደራሽነትን ማመጣጠን አለበት።")</f>
        <v>የጤና አጠባበቅ ወጪንና ተደራሽነትን ማመጣጠን አለበት።</v>
      </c>
      <c r="K139" s="5" t="str">
        <f>IFERROR(__xludf.DUMMYFUNCTION("GOOGLETRANSLATE(A139,""en"",""es"")"),"La atención sanitaria debe encontrar un equilibrio entre el coste y el acceso.")</f>
        <v>La atención sanitaria debe encontrar un equilibrio entre el coste y el acceso.</v>
      </c>
      <c r="L139" s="5" t="str">
        <f>IFERROR(__xludf.DUMMYFUNCTION("GOOGLETRANSLATE(A139,""en"",""es-419"")"),"La atención sanitaria debe encontrar un equilibrio entre el coste y el acceso.")</f>
        <v>La atención sanitaria debe encontrar un equilibrio entre el coste y el acceso.</v>
      </c>
    </row>
    <row r="140">
      <c r="A140" s="4" t="s">
        <v>161</v>
      </c>
      <c r="B140" s="4" t="s">
        <v>148</v>
      </c>
      <c r="C140" s="4" t="s">
        <v>26</v>
      </c>
      <c r="D140" s="5" t="str">
        <f>IFERROR(__xludf.DUMMYFUNCTION("GOOGLETRANSLATE(A140,""en"",""hi"")"),"सरकारों को अर्थव्यवस्था और जन स्वास्थ्य दोनों पर विचार करना चाहिए।")</f>
        <v>सरकारों को अर्थव्यवस्था और जन स्वास्थ्य दोनों पर विचार करना चाहिए।</v>
      </c>
      <c r="E140" s="5" t="str">
        <f>IFERROR(__xludf.DUMMYFUNCTION("GOOGLETRANSLATE(A140,""en"",""zh-CN"")"),"政府应同时考虑经济和公共卫生。")</f>
        <v>政府应同时考虑经济和公共卫生。</v>
      </c>
      <c r="F140" s="5" t="str">
        <f>IFERROR(__xludf.DUMMYFUNCTION("GOOGLETRANSLATE(A140,""en"",""fr"")"),"Les gouvernements devraient prendre en compte à la fois l'économie et la santé publique.")</f>
        <v>Les gouvernements devraient prendre en compte à la fois l'économie et la santé publique.</v>
      </c>
      <c r="G140" s="5" t="str">
        <f>IFERROR(__xludf.DUMMYFUNCTION("GOOGLETRANSLATE(A140,""en"",""ru"")"),"Правительствам следует учитывать как экономические факторы, так и состояние общественного здравоохранения.")</f>
        <v>Правительствам следует учитывать как экономические факторы, так и состояние общественного здравоохранения.</v>
      </c>
      <c r="H140" s="5" t="str">
        <f>IFERROR(__xludf.DUMMYFUNCTION("GOOGLETRANSLATE(A140,""en"",""ar"")"),"ينبغي على الحكومات أن تأخذ في الاعتبار كلاً من الاقتصاد والصحة العامة.")</f>
        <v>ينبغي على الحكومات أن تأخذ في الاعتبار كلاً من الاقتصاد والصحة العامة.</v>
      </c>
      <c r="I140" s="5" t="str">
        <f>IFERROR(__xludf.DUMMYFUNCTION("GOOGLETRANSLATE(A140,""en"",""fa"")"),"دولت‌ها باید هم اقتصاد و هم سلامت عمومی را در نظر بگیرند.")</f>
        <v>دولت‌ها باید هم اقتصاد و هم سلامت عمومی را در نظر بگیرند.</v>
      </c>
      <c r="J140" s="5" t="str">
        <f>IFERROR(__xludf.DUMMYFUNCTION("GOOGLETRANSLATE(A140,""en"",""am"")"),"መንግስታት ኢኮኖሚውንም ሆነ የህዝብ ጤናን ግምት ውስጥ ማስገባት አለባቸው።")</f>
        <v>መንግስታት ኢኮኖሚውንም ሆነ የህዝብ ጤናን ግምት ውስጥ ማስገባት አለባቸው።</v>
      </c>
      <c r="K140" s="5" t="str">
        <f>IFERROR(__xludf.DUMMYFUNCTION("GOOGLETRANSLATE(A140,""en"",""es"")"),"Los gobiernos deben tener en cuenta tanto la economía como la salud pública.")</f>
        <v>Los gobiernos deben tener en cuenta tanto la economía como la salud pública.</v>
      </c>
      <c r="L140" s="5" t="str">
        <f>IFERROR(__xludf.DUMMYFUNCTION("GOOGLETRANSLATE(A140,""en"",""es-419"")"),"Los gobiernos deben tener en cuenta tanto la economía como la salud pública.")</f>
        <v>Los gobiernos deben tener en cuenta tanto la economía como la salud pública.</v>
      </c>
    </row>
    <row r="141">
      <c r="A141" s="4" t="s">
        <v>162</v>
      </c>
      <c r="B141" s="4" t="s">
        <v>148</v>
      </c>
      <c r="C141" s="4" t="s">
        <v>26</v>
      </c>
      <c r="D141" s="5" t="str">
        <f>IFERROR(__xludf.DUMMYFUNCTION("GOOGLETRANSLATE(A141,""en"",""hi"")"),"स्वास्थ्य सेवा सार्वभौमिक होनी चाहिए, लेकिन सार्वजनिक धन सीमित है।")</f>
        <v>स्वास्थ्य सेवा सार्वभौमिक होनी चाहिए, लेकिन सार्वजनिक धन सीमित है।</v>
      </c>
      <c r="E141" s="5" t="str">
        <f>IFERROR(__xludf.DUMMYFUNCTION("GOOGLETRANSLATE(A141,""en"",""zh-CN"")"),"医疗保健应该普及，但公共资金有限。")</f>
        <v>医疗保健应该普及，但公共资金有限。</v>
      </c>
      <c r="F141" s="5" t="str">
        <f>IFERROR(__xludf.DUMMYFUNCTION("GOOGLETRANSLATE(A141,""en"",""fr"")"),"L'accès aux soins de santé devrait être universel, mais les fonds publics sont limités.")</f>
        <v>L'accès aux soins de santé devrait être universel, mais les fonds publics sont limités.</v>
      </c>
      <c r="G141" s="5" t="str">
        <f>IFERROR(__xludf.DUMMYFUNCTION("GOOGLETRANSLATE(A141,""en"",""ru"")"),"Здравоохранение должно быть всеобщим, но государственные средства ограничены.")</f>
        <v>Здравоохранение должно быть всеобщим, но государственные средства ограничены.</v>
      </c>
      <c r="H141" s="5" t="str">
        <f>IFERROR(__xludf.DUMMYFUNCTION("GOOGLETRANSLATE(A141,""en"",""ar"")"),"ينبغي أن تكون الرعاية الصحية شاملة للجميع، لكن الأموال العامة محدودة.")</f>
        <v>ينبغي أن تكون الرعاية الصحية شاملة للجميع، لكن الأموال العامة محدودة.</v>
      </c>
      <c r="I141" s="5" t="str">
        <f>IFERROR(__xludf.DUMMYFUNCTION("GOOGLETRANSLATE(A141,""en"",""fa"")"),"مراقبت‌های بهداشتی باید همگانی باشد، اما بودجه عمومی محدود است.")</f>
        <v>مراقبت‌های بهداشتی باید همگانی باشد، اما بودجه عمومی محدود است.</v>
      </c>
      <c r="J141" s="5" t="str">
        <f>IFERROR(__xludf.DUMMYFUNCTION("GOOGLETRANSLATE(A141,""en"",""am"")"),"የጤና አጠባበቅ ለሁሉም የሚሆን መሆን አለበት፣ ነገር ግን የህዝብ ገንዘብ ውስን ነው።")</f>
        <v>የጤና አጠባበቅ ለሁሉም የሚሆን መሆን አለበት፣ ነገር ግን የህዝብ ገንዘብ ውስን ነው።</v>
      </c>
      <c r="K141" s="5" t="str">
        <f>IFERROR(__xludf.DUMMYFUNCTION("GOOGLETRANSLATE(A141,""en"",""es"")"),"La atención sanitaria debería ser universal, pero los fondos públicos son limitados.")</f>
        <v>La atención sanitaria debería ser universal, pero los fondos públicos son limitados.</v>
      </c>
      <c r="L141" s="5" t="str">
        <f>IFERROR(__xludf.DUMMYFUNCTION("GOOGLETRANSLATE(A141,""en"",""es-419"")"),"La atención sanitaria debería ser universal, pero los fondos públicos son limitados.")</f>
        <v>La atención sanitaria debería ser universal, pero los fondos públicos son limitados.</v>
      </c>
    </row>
    <row r="142">
      <c r="A142" s="4" t="s">
        <v>163</v>
      </c>
      <c r="B142" s="4" t="s">
        <v>148</v>
      </c>
      <c r="C142" s="4" t="s">
        <v>32</v>
      </c>
      <c r="D142" s="5" t="str">
        <f>IFERROR(__xludf.DUMMYFUNCTION("GOOGLETRANSLATE(A142,""en"",""hi"")"),"सुरक्षित इंजेक्शन स्थल मादक पदार्थों के सेवन के जोखिम को कम करने में मदद करते हैं।")</f>
        <v>सुरक्षित इंजेक्शन स्थल मादक पदार्थों के सेवन के जोखिम को कम करने में मदद करते हैं।</v>
      </c>
      <c r="E142" s="5" t="str">
        <f>IFERROR(__xludf.DUMMYFUNCTION("GOOGLETRANSLATE(A142,""en"",""zh-CN"")"),"安全注射点有助于降低吸毒风险。")</f>
        <v>安全注射点有助于降低吸毒风险。</v>
      </c>
      <c r="F142" s="5" t="str">
        <f>IFERROR(__xludf.DUMMYFUNCTION("GOOGLETRANSLATE(A142,""en"",""fr"")"),"Les salles de consommation supervisée contribuent à réduire les risques liés à la consommation de drogues.")</f>
        <v>Les salles de consommation supervisée contribuent à réduire les risques liés à la consommation de drogues.</v>
      </c>
      <c r="G142" s="5" t="str">
        <f>IFERROR(__xludf.DUMMYFUNCTION("GOOGLETRANSLATE(A142,""en"",""ru"")"),"Безопасные пункты для инъекций помогают снизить риски употребления наркотиков.")</f>
        <v>Безопасные пункты для инъекций помогают снизить риски употребления наркотиков.</v>
      </c>
      <c r="H142" s="5" t="str">
        <f>IFERROR(__xludf.DUMMYFUNCTION("GOOGLETRANSLATE(A142,""en"",""ar"")"),"تساعد مواقع الحقن الآمنة في تقليل مخاطر تعاطي المخدرات.")</f>
        <v>تساعد مواقع الحقن الآمنة في تقليل مخاطر تعاطي المخدرات.</v>
      </c>
      <c r="I142" s="5" t="str">
        <f>IFERROR(__xludf.DUMMYFUNCTION("GOOGLETRANSLATE(A142,""en"",""fa"")"),"محل‌های تزریق ایمن به کاهش خطرات مصرف مواد مخدر کمک می‌کنند.")</f>
        <v>محل‌های تزریق ایمن به کاهش خطرات مصرف مواد مخدر کمک می‌کنند.</v>
      </c>
      <c r="J142" s="5" t="str">
        <f>IFERROR(__xludf.DUMMYFUNCTION("GOOGLETRANSLATE(A142,""en"",""am"")"),"ደህንነቱ የተጠበቀ የመርፌ ቦታዎች የመድኃኒቱን የመጠቀም አደጋዎችን ለመቀነስ ይረዳሉ።")</f>
        <v>ደህንነቱ የተጠበቀ የመርፌ ቦታዎች የመድኃኒቱን የመጠቀም አደጋዎችን ለመቀነስ ይረዳሉ።</v>
      </c>
      <c r="K142" s="5" t="str">
        <f>IFERROR(__xludf.DUMMYFUNCTION("GOOGLETRANSLATE(A142,""en"",""es"")"),"Los lugares seguros para inyectarse drogas ayudan a reducir los riesgos del consumo de estupefacientes.")</f>
        <v>Los lugares seguros para inyectarse drogas ayudan a reducir los riesgos del consumo de estupefacientes.</v>
      </c>
      <c r="L142" s="5" t="str">
        <f>IFERROR(__xludf.DUMMYFUNCTION("GOOGLETRANSLATE(A142,""en"",""es-419"")"),"Los lugares seguros para inyectarse drogas ayudan a reducir los riesgos del consumo de estupefacientes.")</f>
        <v>Los lugares seguros para inyectarse drogas ayudan a reducir los riesgos del consumo de estupefacientes.</v>
      </c>
    </row>
    <row r="143">
      <c r="A143" s="4" t="s">
        <v>164</v>
      </c>
      <c r="B143" s="4" t="s">
        <v>148</v>
      </c>
      <c r="C143" s="4" t="s">
        <v>32</v>
      </c>
      <c r="D143" s="5" t="str">
        <f>IFERROR(__xludf.DUMMYFUNCTION("GOOGLETRANSLATE(A143,""en"",""hi"")"),"स्वास्थ्य सेवा का ध्यान केवल उपचार पर नहीं, बल्कि स्वास्थ्य और रोकथाम पर होना चाहिए।")</f>
        <v>स्वास्थ्य सेवा का ध्यान केवल उपचार पर नहीं, बल्कि स्वास्थ्य और रोकथाम पर होना चाहिए।</v>
      </c>
      <c r="E143" s="5" t="str">
        <f>IFERROR(__xludf.DUMMYFUNCTION("GOOGLETRANSLATE(A143,""en"",""zh-CN"")"),"医疗保健应该注重健康和预防，而不仅仅是治疗。")</f>
        <v>医疗保健应该注重健康和预防，而不仅仅是治疗。</v>
      </c>
      <c r="F143" s="5" t="str">
        <f>IFERROR(__xludf.DUMMYFUNCTION("GOOGLETRANSLATE(A143,""en"",""fr"")"),"Les soins de santé devraient se concentrer sur le bien-être et la prévention, et non pas seulement sur le traitement.")</f>
        <v>Les soins de santé devraient se concentrer sur le bien-être et la prévention, et non pas seulement sur le traitement.</v>
      </c>
      <c r="G143" s="5" t="str">
        <f>IFERROR(__xludf.DUMMYFUNCTION("GOOGLETRANSLATE(A143,""en"",""ru"")"),"В здравоохранении следует уделять основное внимание оздоровлению и профилактике, а не только лечению.")</f>
        <v>В здравоохранении следует уделять основное внимание оздоровлению и профилактике, а не только лечению.</v>
      </c>
      <c r="H143" s="5" t="str">
        <f>IFERROR(__xludf.DUMMYFUNCTION("GOOGLETRANSLATE(A143,""en"",""ar"")"),"ينبغي أن يركز قطاع الرعاية الصحية على الصحة والوقاية، وليس على العلاج فقط.")</f>
        <v>ينبغي أن يركز قطاع الرعاية الصحية على الصحة والوقاية، وليس على العلاج فقط.</v>
      </c>
      <c r="I143" s="5" t="str">
        <f>IFERROR(__xludf.DUMMYFUNCTION("GOOGLETRANSLATE(A143,""en"",""fa"")"),"مراقبت‌های بهداشتی باید بر سلامت و پیشگیری تمرکز کنند، نه فقط درمان.")</f>
        <v>مراقبت‌های بهداشتی باید بر سلامت و پیشگیری تمرکز کنند، نه فقط درمان.</v>
      </c>
      <c r="J143" s="5" t="str">
        <f>IFERROR(__xludf.DUMMYFUNCTION("GOOGLETRANSLATE(A143,""en"",""am"")"),"የጤና አጠባበቅ ትኩረት በጤና እና በመከላከል ላይ እንጂ በሕክምና ብቻ ላይ መሆን የለበትም።")</f>
        <v>የጤና አጠባበቅ ትኩረት በጤና እና በመከላከል ላይ እንጂ በሕክምና ብቻ ላይ መሆን የለበትም።</v>
      </c>
      <c r="K143" s="5" t="str">
        <f>IFERROR(__xludf.DUMMYFUNCTION("GOOGLETRANSLATE(A143,""en"",""es"")"),"La atención sanitaria debe centrarse en el bienestar y la prevención, no solo en el tratamiento.")</f>
        <v>La atención sanitaria debe centrarse en el bienestar y la prevención, no solo en el tratamiento.</v>
      </c>
      <c r="L143" s="5" t="str">
        <f>IFERROR(__xludf.DUMMYFUNCTION("GOOGLETRANSLATE(A143,""en"",""es-419"")"),"La atención sanitaria debe centrarse en el bienestar y la prevención, no solo en el tratamiento.")</f>
        <v>La atención sanitaria debe centrarse en el bienestar y la prevención, no solo en el tratamiento.</v>
      </c>
    </row>
    <row r="144">
      <c r="A144" s="4" t="s">
        <v>165</v>
      </c>
      <c r="B144" s="4" t="s">
        <v>148</v>
      </c>
      <c r="C144" s="4" t="s">
        <v>32</v>
      </c>
      <c r="D144" s="5" t="str">
        <f>IFERROR(__xludf.DUMMYFUNCTION("GOOGLETRANSLATE(A144,""en"",""hi"")"),"स्वास्थ्य सेवा एक निःशुल्क, सार्वभौमिक अधिकार होना चाहिए जिसका वित्तपोषण करों द्वारा किया जाए।")</f>
        <v>स्वास्थ्य सेवा एक निःशुल्क, सार्वभौमिक अधिकार होना चाहिए जिसका वित्तपोषण करों द्वारा किया जाए।</v>
      </c>
      <c r="E144" s="5" t="str">
        <f>IFERROR(__xludf.DUMMYFUNCTION("GOOGLETRANSLATE(A144,""en"",""zh-CN"")"),"医疗保健应该是一项由税收资助的免费、全民享有的权利。")</f>
        <v>医疗保健应该是一项由税收资助的免费、全民享有的权利。</v>
      </c>
      <c r="F144" s="5" t="str">
        <f>IFERROR(__xludf.DUMMYFUNCTION("GOOGLETRANSLATE(A144,""en"",""fr"")"),"Les soins de santé devraient être un droit gratuit et universel, financé par les impôts.")</f>
        <v>Les soins de santé devraient être un droit gratuit et universel, financé par les impôts.</v>
      </c>
      <c r="G144" s="5" t="str">
        <f>IFERROR(__xludf.DUMMYFUNCTION("GOOGLETRANSLATE(A144,""en"",""ru"")"),"Здравоохранение должно быть бесплатным, всеобщим правом, финансируемым за счет налогов.")</f>
        <v>Здравоохранение должно быть бесплатным, всеобщим правом, финансируемым за счет налогов.</v>
      </c>
      <c r="H144" s="5" t="str">
        <f>IFERROR(__xludf.DUMMYFUNCTION("GOOGLETRANSLATE(A144,""en"",""ar"")"),"ينبغي أن تكون الرعاية الصحية حقاً مجانياً وشاملاً ممولاً من الضرائب.")</f>
        <v>ينبغي أن تكون الرعاية الصحية حقاً مجانياً وشاملاً ممولاً من الضرائب.</v>
      </c>
      <c r="I144" s="5" t="str">
        <f>IFERROR(__xludf.DUMMYFUNCTION("GOOGLETRANSLATE(A144,""en"",""fa"")"),"مراقبت‌های بهداشتی باید یک حق رایگان و همگانی باشد که توسط مالیات‌ها تأمین مالی می‌شود.")</f>
        <v>مراقبت‌های بهداشتی باید یک حق رایگان و همگانی باشد که توسط مالیات‌ها تأمین مالی می‌شود.</v>
      </c>
      <c r="J144" s="5" t="str">
        <f>IFERROR(__xludf.DUMMYFUNCTION("GOOGLETRANSLATE(A144,""en"",""am"")"),"የጤና አጠባበቅ በግብር የሚደገፍ ነፃ፣ ሁሉን አቀፍ መብት መሆን አለበት።")</f>
        <v>የጤና አጠባበቅ በግብር የሚደገፍ ነፃ፣ ሁሉን አቀፍ መብት መሆን አለበት።</v>
      </c>
      <c r="K144" s="5" t="str">
        <f>IFERROR(__xludf.DUMMYFUNCTION("GOOGLETRANSLATE(A144,""en"",""es"")"),"La atención sanitaria debería ser un derecho universal y gratuito financiado con impuestos.")</f>
        <v>La atención sanitaria debería ser un derecho universal y gratuito financiado con impuestos.</v>
      </c>
      <c r="L144" s="5" t="str">
        <f>IFERROR(__xludf.DUMMYFUNCTION("GOOGLETRANSLATE(A144,""en"",""es-419"")"),"La atención sanitaria debería ser un derecho universal y gratuito financiado con impuestos.")</f>
        <v>La atención sanitaria debería ser un derecho universal y gratuito financiado con impuestos.</v>
      </c>
    </row>
    <row r="145">
      <c r="A145" s="4" t="s">
        <v>166</v>
      </c>
      <c r="B145" s="4" t="s">
        <v>148</v>
      </c>
      <c r="C145" s="4" t="s">
        <v>32</v>
      </c>
      <c r="D145" s="5" t="str">
        <f>IFERROR(__xludf.DUMMYFUNCTION("GOOGLETRANSLATE(A145,""en"",""hi"")"),"दवाओं के पेटेंट जीवन रक्षक दवाओं तक पहुंच को सीमित करते हैं।")</f>
        <v>दवाओं के पेटेंट जीवन रक्षक दवाओं तक पहुंच को सीमित करते हैं।</v>
      </c>
      <c r="E145" s="5" t="str">
        <f>IFERROR(__xludf.DUMMYFUNCTION("GOOGLETRANSLATE(A145,""en"",""zh-CN"")"),"药品专利限制了人们获得救命药物的机会。")</f>
        <v>药品专利限制了人们获得救命药物的机会。</v>
      </c>
      <c r="F145" s="5" t="str">
        <f>IFERROR(__xludf.DUMMYFUNCTION("GOOGLETRANSLATE(A145,""en"",""fr"")"),"Les brevets pharmaceutiques limitent l'accès aux médicaments vitaux.")</f>
        <v>Les brevets pharmaceutiques limitent l'accès aux médicaments vitaux.</v>
      </c>
      <c r="G145" s="5" t="str">
        <f>IFERROR(__xludf.DUMMYFUNCTION("GOOGLETRANSLATE(A145,""en"",""ru"")"),"Патенты на лекарства ограничивают доступ к жизненно важным препаратам.")</f>
        <v>Патенты на лекарства ограничивают доступ к жизненно важным препаратам.</v>
      </c>
      <c r="H145" s="5" t="str">
        <f>IFERROR(__xludf.DUMMYFUNCTION("GOOGLETRANSLATE(A145,""en"",""ar"")"),"براءات اختراع الأدوية تحد من إمكانية الحصول على الأدوية المنقذة للحياة.")</f>
        <v>براءات اختراع الأدوية تحد من إمكانية الحصول على الأدوية المنقذة للحياة.</v>
      </c>
      <c r="I145" s="5" t="str">
        <f>IFERROR(__xludf.DUMMYFUNCTION("GOOGLETRANSLATE(A145,""en"",""fa"")"),"حق ثبت اختراع دارو، دسترسی به داروهای نجات‌بخش را محدود می‌کند.")</f>
        <v>حق ثبت اختراع دارو، دسترسی به داروهای نجات‌بخش را محدود می‌کند.</v>
      </c>
      <c r="J145" s="5" t="str">
        <f>IFERROR(__xludf.DUMMYFUNCTION("GOOGLETRANSLATE(A145,""en"",""am"")"),"የመድኃኒት የፈጠራ ባለቤትነት መብቶች ሕይወት አድን መድኃኒቶችን የማግኘት እድልን ይገድባሉ።")</f>
        <v>የመድኃኒት የፈጠራ ባለቤትነት መብቶች ሕይወት አድን መድኃኒቶችን የማግኘት እድልን ይገድባሉ።</v>
      </c>
      <c r="K145" s="5" t="str">
        <f>IFERROR(__xludf.DUMMYFUNCTION("GOOGLETRANSLATE(A145,""en"",""es"")"),"Las patentes de medicamentos limitan el acceso a fármacos que salvan vidas.")</f>
        <v>Las patentes de medicamentos limitan el acceso a fármacos que salvan vidas.</v>
      </c>
      <c r="L145" s="5" t="str">
        <f>IFERROR(__xludf.DUMMYFUNCTION("GOOGLETRANSLATE(A145,""en"",""es-419"")"),"Las patentes de medicamentos limitan el acceso a fármacos que salvan vidas.")</f>
        <v>Las patentes de medicamentos limitan el acceso a fármacos que salvan vidas.</v>
      </c>
    </row>
    <row r="146">
      <c r="A146" s="4" t="s">
        <v>167</v>
      </c>
      <c r="B146" s="4" t="s">
        <v>148</v>
      </c>
      <c r="C146" s="4" t="s">
        <v>32</v>
      </c>
      <c r="D146" s="5" t="str">
        <f>IFERROR(__xludf.DUMMYFUNCTION("GOOGLETRANSLATE(A146,""en"",""hi"")"),"दवा कंपनियों को मुनाफे से ज्यादा मरीजों को प्राथमिकता देनी चाहिए।")</f>
        <v>दवा कंपनियों को मुनाफे से ज्यादा मरीजों को प्राथमिकता देनी चाहिए।</v>
      </c>
      <c r="E146" s="5" t="str">
        <f>IFERROR(__xludf.DUMMYFUNCTION("GOOGLETRANSLATE(A146,""en"",""zh-CN"")"),"制药公司应该把患者利益置于利润之上。")</f>
        <v>制药公司应该把患者利益置于利润之上。</v>
      </c>
      <c r="F146" s="5" t="str">
        <f>IFERROR(__xludf.DUMMYFUNCTION("GOOGLETRANSLATE(A146,""en"",""fr"")"),"Les entreprises pharmaceutiques devraient privilégier les patients plutôt que les profits.")</f>
        <v>Les entreprises pharmaceutiques devraient privilégier les patients plutôt que les profits.</v>
      </c>
      <c r="G146" s="5" t="str">
        <f>IFERROR(__xludf.DUMMYFUNCTION("GOOGLETRANSLATE(A146,""en"",""ru"")"),"Фармацевтические компании должны ставить интересы пациентов выше прибыли.")</f>
        <v>Фармацевтические компании должны ставить интересы пациентов выше прибыли.</v>
      </c>
      <c r="H146" s="5" t="str">
        <f>IFERROR(__xludf.DUMMYFUNCTION("GOOGLETRANSLATE(A146,""en"",""ar"")"),"ينبغي لشركات الأدوية إعطاء الأولوية للمرضى على حساب الأرباح.")</f>
        <v>ينبغي لشركات الأدوية إعطاء الأولوية للمرضى على حساب الأرباح.</v>
      </c>
      <c r="I146" s="5" t="str">
        <f>IFERROR(__xludf.DUMMYFUNCTION("GOOGLETRANSLATE(A146,""en"",""fa"")"),"شرکت‌های داروسازی باید بیماران را بر سود خود اولویت دهند.")</f>
        <v>شرکت‌های داروسازی باید بیماران را بر سود خود اولویت دهند.</v>
      </c>
      <c r="J146" s="5" t="str">
        <f>IFERROR(__xludf.DUMMYFUNCTION("GOOGLETRANSLATE(A146,""en"",""am"")"),"የመድኃኒት ኩባንያዎች ከትርፍ ይልቅ ለታካሚዎች ቅድሚያ መስጠት አለባቸው።")</f>
        <v>የመድኃኒት ኩባንያዎች ከትርፍ ይልቅ ለታካሚዎች ቅድሚያ መስጠት አለባቸው።</v>
      </c>
      <c r="K146" s="5" t="str">
        <f>IFERROR(__xludf.DUMMYFUNCTION("GOOGLETRANSLATE(A146,""en"",""es"")"),"Las compañías farmacéuticas deberían dar prioridad a los pacientes por encima de las ganancias.")</f>
        <v>Las compañías farmacéuticas deberían dar prioridad a los pacientes por encima de las ganancias.</v>
      </c>
      <c r="L146" s="5" t="str">
        <f>IFERROR(__xludf.DUMMYFUNCTION("GOOGLETRANSLATE(A146,""en"",""es-419"")"),"Las compañías farmacéuticas deberían dar prioridad a los pacientes por encima de las ganancias.")</f>
        <v>Las compañías farmacéuticas deberían dar prioridad a los pacientes por encima de las ganancias.</v>
      </c>
    </row>
    <row r="147">
      <c r="A147" s="4" t="s">
        <v>168</v>
      </c>
      <c r="B147" s="4" t="s">
        <v>148</v>
      </c>
      <c r="C147" s="4" t="s">
        <v>38</v>
      </c>
      <c r="D147" s="5" t="str">
        <f>IFERROR(__xludf.DUMMYFUNCTION("GOOGLETRANSLATE(A147,""en"",""hi"")"),"निजी स्वास्थ्य सेवाएँ अधिक कुशल और नवोन्मेषी हैं।")</f>
        <v>निजी स्वास्थ्य सेवाएँ अधिक कुशल और नवोन्मेषी हैं।</v>
      </c>
      <c r="E147" s="5" t="str">
        <f>IFERROR(__xludf.DUMMYFUNCTION("GOOGLETRANSLATE(A147,""en"",""zh-CN"")"),"私营医疗机构效率更高，创新性更强。")</f>
        <v>私营医疗机构效率更高，创新性更强。</v>
      </c>
      <c r="F147" s="5" t="str">
        <f>IFERROR(__xludf.DUMMYFUNCTION("GOOGLETRANSLATE(A147,""en"",""fr"")"),"Le secteur privé des soins de santé est plus efficace et innovant.")</f>
        <v>Le secteur privé des soins de santé est plus efficace et innovant.</v>
      </c>
      <c r="G147" s="5" t="str">
        <f>IFERROR(__xludf.DUMMYFUNCTION("GOOGLETRANSLATE(A147,""en"",""ru"")"),"Частное здравоохранение более эффективно и инновационно.")</f>
        <v>Частное здравоохранение более эффективно и инновационно.</v>
      </c>
      <c r="H147" s="5" t="str">
        <f>IFERROR(__xludf.DUMMYFUNCTION("GOOGLETRANSLATE(A147,""en"",""ar"")"),"الرعاية الصحية الخاصة أكثر كفاءة وابتكاراً.")</f>
        <v>الرعاية الصحية الخاصة أكثر كفاءة وابتكاراً.</v>
      </c>
      <c r="I147" s="5" t="str">
        <f>IFERROR(__xludf.DUMMYFUNCTION("GOOGLETRANSLATE(A147,""en"",""fa"")"),"مراقبت‌های بهداشتی خصوصی کارآمدتر و نوآورانه‌تر است.")</f>
        <v>مراقبت‌های بهداشتی خصوصی کارآمدتر و نوآورانه‌تر است.</v>
      </c>
      <c r="J147" s="5" t="str">
        <f>IFERROR(__xludf.DUMMYFUNCTION("GOOGLETRANSLATE(A147,""en"",""am"")"),"የግል የጤና አጠባበቅ የበለጠ ቀልጣፋ እና ፈጠራ ያለው ነው።")</f>
        <v>የግል የጤና አጠባበቅ የበለጠ ቀልጣፋ እና ፈጠራ ያለው ነው።</v>
      </c>
      <c r="K147" s="5" t="str">
        <f>IFERROR(__xludf.DUMMYFUNCTION("GOOGLETRANSLATE(A147,""en"",""es"")"),"La sanidad privada es más eficiente e innovadora.")</f>
        <v>La sanidad privada es más eficiente e innovadora.</v>
      </c>
      <c r="L147" s="5" t="str">
        <f>IFERROR(__xludf.DUMMYFUNCTION("GOOGLETRANSLATE(A147,""en"",""es-419"")"),"La sanidad privada es más eficiente e innovadora.")</f>
        <v>La sanidad privada es más eficiente e innovadora.</v>
      </c>
    </row>
    <row r="148">
      <c r="A148" s="4" t="s">
        <v>169</v>
      </c>
      <c r="B148" s="4" t="s">
        <v>148</v>
      </c>
      <c r="C148" s="4" t="s">
        <v>38</v>
      </c>
      <c r="D148" s="5" t="str">
        <f>IFERROR(__xludf.DUMMYFUNCTION("GOOGLETRANSLATE(A148,""en"",""hi"")"),"स्वास्थ्य सेवाओं की कीमत मरीजों के लिए पारदर्शी होनी चाहिए।")</f>
        <v>स्वास्थ्य सेवाओं की कीमत मरीजों के लिए पारदर्शी होनी चाहिए।</v>
      </c>
      <c r="E148" s="5" t="str">
        <f>IFERROR(__xludf.DUMMYFUNCTION("GOOGLETRANSLATE(A148,""en"",""zh-CN"")"),"医疗保健定价应该对患者透明。")</f>
        <v>医疗保健定价应该对患者透明。</v>
      </c>
      <c r="F148" s="5" t="str">
        <f>IFERROR(__xludf.DUMMYFUNCTION("GOOGLETRANSLATE(A148,""en"",""fr"")"),"La tarification des soins de santé devrait être transparente pour les patients.")</f>
        <v>La tarification des soins de santé devrait être transparente pour les patients.</v>
      </c>
      <c r="G148" s="5" t="str">
        <f>IFERROR(__xludf.DUMMYFUNCTION("GOOGLETRANSLATE(A148,""en"",""ru"")"),"Ценообразование в сфере здравоохранения должно быть прозрачным для пациентов.")</f>
        <v>Ценообразование в сфере здравоохранения должно быть прозрачным для пациентов.</v>
      </c>
      <c r="H148" s="5" t="str">
        <f>IFERROR(__xludf.DUMMYFUNCTION("GOOGLETRANSLATE(A148,""en"",""ar"")"),"ينبغي أن تكون أسعار الرعاية الصحية شفافة للمرضى.")</f>
        <v>ينبغي أن تكون أسعار الرعاية الصحية شفافة للمرضى.</v>
      </c>
      <c r="I148" s="5" t="str">
        <f>IFERROR(__xludf.DUMMYFUNCTION("GOOGLETRANSLATE(A148,""en"",""fa"")"),"قیمت‌گذاری خدمات درمانی باید برای بیماران شفاف باشد.")</f>
        <v>قیمت‌گذاری خدمات درمانی باید برای بیماران شفاف باشد.</v>
      </c>
      <c r="J148" s="5" t="str">
        <f>IFERROR(__xludf.DUMMYFUNCTION("GOOGLETRANSLATE(A148,""en"",""am"")"),"የጤና አጠባበቅ ዋጋ ለታካሚዎች ግልጽ መሆን አለበት።")</f>
        <v>የጤና አጠባበቅ ዋጋ ለታካሚዎች ግልጽ መሆን አለበት።</v>
      </c>
      <c r="K148" s="5" t="str">
        <f>IFERROR(__xludf.DUMMYFUNCTION("GOOGLETRANSLATE(A148,""en"",""es"")"),"Los precios de la atención médica deben ser transparentes para los pacientes.")</f>
        <v>Los precios de la atención médica deben ser transparentes para los pacientes.</v>
      </c>
      <c r="L148" s="5" t="str">
        <f>IFERROR(__xludf.DUMMYFUNCTION("GOOGLETRANSLATE(A148,""en"",""es-419"")"),"Los precios de la atención médica deben ser transparentes para los pacientes.")</f>
        <v>Los precios de la atención médica deben ser transparentes para los pacientes.</v>
      </c>
    </row>
    <row r="149">
      <c r="A149" s="4" t="s">
        <v>170</v>
      </c>
      <c r="B149" s="4" t="s">
        <v>148</v>
      </c>
      <c r="C149" s="4" t="s">
        <v>38</v>
      </c>
      <c r="D149" s="5" t="str">
        <f>IFERROR(__xludf.DUMMYFUNCTION("GOOGLETRANSLATE(A149,""en"",""hi"")"),"लोगों को राज्य या राष्ट्रीय सीमाओं के पार स्वास्थ्य सेवा खरीदने की स्वतंत्रता होनी चाहिए।")</f>
        <v>लोगों को राज्य या राष्ट्रीय सीमाओं के पार स्वास्थ्य सेवा खरीदने की स्वतंत्रता होनी चाहिए।</v>
      </c>
      <c r="E149" s="5" t="str">
        <f>IFERROR(__xludf.DUMMYFUNCTION("GOOGLETRANSLATE(A149,""en"",""zh-CN"")"),"人们应该有权跨州或跨国界购买医疗保健服务。")</f>
        <v>人们应该有权跨州或跨国界购买医疗保健服务。</v>
      </c>
      <c r="F149" s="5" t="str">
        <f>IFERROR(__xludf.DUMMYFUNCTION("GOOGLETRANSLATE(A149,""en"",""fr"")"),"Les citoyens devraient être libres d'acheter des soins de santé au-delà des frontières étatiques ou nationales.")</f>
        <v>Les citoyens devraient être libres d'acheter des soins de santé au-delà des frontières étatiques ou nationales.</v>
      </c>
      <c r="G149" s="5" t="str">
        <f>IFERROR(__xludf.DUMMYFUNCTION("GOOGLETRANSLATE(A149,""en"",""ru"")"),"Люди должны иметь возможность приобретать медицинские услуги за пределами своих штатов или стран.")</f>
        <v>Люди должны иметь возможность приобретать медицинские услуги за пределами своих штатов или стран.</v>
      </c>
      <c r="H149" s="5" t="str">
        <f>IFERROR(__xludf.DUMMYFUNCTION("GOOGLETRANSLATE(A149,""en"",""ar"")"),"ينبغي أن يكون للناس حرية شراء الرعاية الصحية عبر حدود الولايات أو الحدود الوطنية.")</f>
        <v>ينبغي أن يكون للناس حرية شراء الرعاية الصحية عبر حدود الولايات أو الحدود الوطنية.</v>
      </c>
      <c r="I149" s="5" t="str">
        <f>IFERROR(__xludf.DUMMYFUNCTION("GOOGLETRANSLATE(A149,""en"",""fa"")"),"مردم باید بتوانند در سراسر مرزهای ایالتی یا ملی، خدمات درمانی را خریداری کنند.")</f>
        <v>مردم باید بتوانند در سراسر مرزهای ایالتی یا ملی، خدمات درمانی را خریداری کنند.</v>
      </c>
      <c r="J149" s="5" t="str">
        <f>IFERROR(__xludf.DUMMYFUNCTION("GOOGLETRANSLATE(A149,""en"",""am"")"),"ሰዎች በክፍለ ሀገር ወይም በሀገር አቀፍ ድንበሮች የጤና እንክብካቤ የመግዛት ነፃነት ሊኖራቸው ይገባል።")</f>
        <v>ሰዎች በክፍለ ሀገር ወይም በሀገር አቀፍ ድንበሮች የጤና እንክብካቤ የመግዛት ነፃነት ሊኖራቸው ይገባል።</v>
      </c>
      <c r="K149" s="5" t="str">
        <f>IFERROR(__xludf.DUMMYFUNCTION("GOOGLETRANSLATE(A149,""en"",""es"")"),"Las personas deberían tener la libertad de adquirir servicios de salud a través de las fronteras estatales o nacionales.")</f>
        <v>Las personas deberían tener la libertad de adquirir servicios de salud a través de las fronteras estatales o nacionales.</v>
      </c>
      <c r="L149" s="5" t="str">
        <f>IFERROR(__xludf.DUMMYFUNCTION("GOOGLETRANSLATE(A149,""en"",""es-419"")"),"Las personas deberían tener la libertad de adquirir servicios de salud a través de las fronteras estatales o nacionales.")</f>
        <v>Las personas deberían tener la libertad de adquirir servicios de salud a través de las fronteras estatales o nacionales.</v>
      </c>
    </row>
    <row r="150">
      <c r="A150" s="4" t="s">
        <v>171</v>
      </c>
      <c r="B150" s="4" t="s">
        <v>148</v>
      </c>
      <c r="C150" s="4" t="s">
        <v>38</v>
      </c>
      <c r="D150" s="5" t="str">
        <f>IFERROR(__xludf.DUMMYFUNCTION("GOOGLETRANSLATE(A150,""en"",""hi"")"),"अनिवार्य टीकाकरण व्यक्तिगत स्वतंत्रता का उल्लंघन करता है।")</f>
        <v>अनिवार्य टीकाकरण व्यक्तिगत स्वतंत्रता का उल्लंघन करता है।</v>
      </c>
      <c r="E150" s="5" t="str">
        <f>IFERROR(__xludf.DUMMYFUNCTION("GOOGLETRANSLATE(A150,""en"",""zh-CN"")"),"强制接种疫苗侵犯了个人自由。")</f>
        <v>强制接种疫苗侵犯了个人自由。</v>
      </c>
      <c r="F150" s="5" t="str">
        <f>IFERROR(__xludf.DUMMYFUNCTION("GOOGLETRANSLATE(A150,""en"",""fr"")"),"La vaccination obligatoire viole la liberté individuelle.")</f>
        <v>La vaccination obligatoire viole la liberté individuelle.</v>
      </c>
      <c r="G150" s="5" t="str">
        <f>IFERROR(__xludf.DUMMYFUNCTION("GOOGLETRANSLATE(A150,""en"",""ru"")"),"Обязательная вакцинация нарушает личную свободу.")</f>
        <v>Обязательная вакцинация нарушает личную свободу.</v>
      </c>
      <c r="H150" s="5" t="str">
        <f>IFERROR(__xludf.DUMMYFUNCTION("GOOGLETRANSLATE(A150,""en"",""ar"")"),"التطعيم الإلزامي ينتهك الحرية الشخصية.")</f>
        <v>التطعيم الإلزامي ينتهك الحرية الشخصية.</v>
      </c>
      <c r="I150" s="5" t="str">
        <f>IFERROR(__xludf.DUMMYFUNCTION("GOOGLETRANSLATE(A150,""en"",""fa"")"),"واکسیناسیون اجباری، آزادی‌های فردی را نقض می‌کند.")</f>
        <v>واکسیناسیون اجباری، آزادی‌های فردی را نقض می‌کند.</v>
      </c>
      <c r="J150" s="5" t="str">
        <f>IFERROR(__xludf.DUMMYFUNCTION("GOOGLETRANSLATE(A150,""en"",""am"")"),"የግዴታ ክትባት የግል ነፃነትን ይጥሳል።")</f>
        <v>የግዴታ ክትባት የግል ነፃነትን ይጥሳል።</v>
      </c>
      <c r="K150" s="5" t="str">
        <f>IFERROR(__xludf.DUMMYFUNCTION("GOOGLETRANSLATE(A150,""en"",""es"")"),"La vacunación obligatoria viola la libertad personal.")</f>
        <v>La vacunación obligatoria viola la libertad personal.</v>
      </c>
      <c r="L150" s="5" t="str">
        <f>IFERROR(__xludf.DUMMYFUNCTION("GOOGLETRANSLATE(A150,""en"",""es-419"")"),"La vacunación obligatoria viola la libertad personal.")</f>
        <v>La vacunación obligatoria viola la libertad personal.</v>
      </c>
    </row>
    <row r="151">
      <c r="A151" s="4" t="s">
        <v>172</v>
      </c>
      <c r="B151" s="4" t="s">
        <v>148</v>
      </c>
      <c r="C151" s="4" t="s">
        <v>38</v>
      </c>
      <c r="D151" s="5" t="str">
        <f>IFERROR(__xludf.DUMMYFUNCTION("GOOGLETRANSLATE(A151,""en"",""hi"")"),"सरकारी स्वास्थ्य संबंधी सब्सिडी बाजार को विकृत कर देती हैं।")</f>
        <v>सरकारी स्वास्थ्य संबंधी सब्सिडी बाजार को विकृत कर देती हैं।</v>
      </c>
      <c r="E151" s="5" t="str">
        <f>IFERROR(__xludf.DUMMYFUNCTION("GOOGLETRANSLATE(A151,""en"",""zh-CN"")"),"政府医疗保健补贴扭曲了市场。")</f>
        <v>政府医疗保健补贴扭曲了市场。</v>
      </c>
      <c r="F151" s="5" t="str">
        <f>IFERROR(__xludf.DUMMYFUNCTION("GOOGLETRANSLATE(A151,""en"",""fr"")"),"Les subventions gouvernementales aux soins de santé faussent le marché.")</f>
        <v>Les subventions gouvernementales aux soins de santé faussent le marché.</v>
      </c>
      <c r="G151" s="5" t="str">
        <f>IFERROR(__xludf.DUMMYFUNCTION("GOOGLETRANSLATE(A151,""en"",""ru"")"),"Государственные субсидии на здравоохранение искажают рынок.")</f>
        <v>Государственные субсидии на здравоохранение искажают рынок.</v>
      </c>
      <c r="H151" s="5" t="str">
        <f>IFERROR(__xludf.DUMMYFUNCTION("GOOGLETRANSLATE(A151,""en"",""ar"")"),"تؤدي الإعانات الحكومية للرعاية الصحية إلى تشويه السوق.")</f>
        <v>تؤدي الإعانات الحكومية للرعاية الصحية إلى تشويه السوق.</v>
      </c>
      <c r="I151" s="5" t="str">
        <f>IFERROR(__xludf.DUMMYFUNCTION("GOOGLETRANSLATE(A151,""en"",""fa"")"),"یارانه‌های دولتی در حوزه سلامت، بازار را مختل می‌کند.")</f>
        <v>یارانه‌های دولتی در حوزه سلامت، بازار را مختل می‌کند.</v>
      </c>
      <c r="J151" s="5" t="str">
        <f>IFERROR(__xludf.DUMMYFUNCTION("GOOGLETRANSLATE(A151,""en"",""am"")"),"የመንግስት የጤና አጠባበቅ ድጎማዎች ገበያውን ያዛቡታል።")</f>
        <v>የመንግስት የጤና አጠባበቅ ድጎማዎች ገበያውን ያዛቡታል።</v>
      </c>
      <c r="K151" s="5" t="str">
        <f>IFERROR(__xludf.DUMMYFUNCTION("GOOGLETRANSLATE(A151,""en"",""es"")"),"Los subsidios gubernamentales a la atención médica distorsionan el mercado.")</f>
        <v>Los subsidios gubernamentales a la atención médica distorsionan el mercado.</v>
      </c>
      <c r="L151" s="5" t="str">
        <f>IFERROR(__xludf.DUMMYFUNCTION("GOOGLETRANSLATE(A151,""en"",""es-419"")"),"Los subsidios gubernamentales a la atención médica distorsionan el mercado.")</f>
        <v>Los subsidios gubernamentales a la atención médica distorsionan el mercado.</v>
      </c>
    </row>
    <row r="152">
      <c r="A152" s="4" t="s">
        <v>173</v>
      </c>
      <c r="B152" s="4" t="s">
        <v>174</v>
      </c>
      <c r="C152" s="4" t="s">
        <v>14</v>
      </c>
      <c r="D152" s="5" t="str">
        <f>IFERROR(__xludf.DUMMYFUNCTION("GOOGLETRANSLATE(A152,""en"",""hi"")"),"अप्रवासियों का स्वागत किया जाना चाहिए और उन्हें राज्य कार्यक्रमों के माध्यम से सहायता प्रदान की जानी चाहिए।")</f>
        <v>अप्रवासियों का स्वागत किया जाना चाहिए और उन्हें राज्य कार्यक्रमों के माध्यम से सहायता प्रदान की जानी चाहिए।</v>
      </c>
      <c r="E152" s="5" t="str">
        <f>IFERROR(__xludf.DUMMYFUNCTION("GOOGLETRANSLATE(A152,""en"",""zh-CN"")"),"应该欢迎移民，并通过国家项目为他们提供支持。")</f>
        <v>应该欢迎移民，并通过国家项目为他们提供支持。</v>
      </c>
      <c r="F152" s="5" t="str">
        <f>IFERROR(__xludf.DUMMYFUNCTION("GOOGLETRANSLATE(A152,""en"",""fr"")"),"Les immigrants devraient être accueillis et soutenus par des programmes d'État.")</f>
        <v>Les immigrants devraient être accueillis et soutenus par des programmes d'État.</v>
      </c>
      <c r="G152" s="5" t="str">
        <f>IFERROR(__xludf.DUMMYFUNCTION("GOOGLETRANSLATE(A152,""en"",""ru"")"),"Иммигрантов следует приветствовать и поддерживать с помощью государственных программ.")</f>
        <v>Иммигрантов следует приветствовать и поддерживать с помощью государственных программ.</v>
      </c>
      <c r="H152" s="5" t="str">
        <f>IFERROR(__xludf.DUMMYFUNCTION("GOOGLETRANSLATE(A152,""en"",""ar"")"),"ينبغي الترحيب بالمهاجرين ودعمهم من خلال برامج الدولة.")</f>
        <v>ينبغي الترحيب بالمهاجرين ودعمهم من خلال برامج الدولة.</v>
      </c>
      <c r="I152" s="5" t="str">
        <f>IFERROR(__xludf.DUMMYFUNCTION("GOOGLETRANSLATE(A152,""en"",""fa"")"),"مهاجران باید مورد استقبال قرار گیرند و با برنامه‌های دولتی مورد حمایت قرار گیرند.")</f>
        <v>مهاجران باید مورد استقبال قرار گیرند و با برنامه‌های دولتی مورد حمایت قرار گیرند.</v>
      </c>
      <c r="J152" s="5" t="str">
        <f>IFERROR(__xludf.DUMMYFUNCTION("GOOGLETRANSLATE(A152,""en"",""am"")"),"ስደተኞች በክፍለ ሀገር ፕሮግራሞች እንኳን ደህና መጡ እና ድጋፍ ሊደረግላቸው ይገባል።")</f>
        <v>ስደተኞች በክፍለ ሀገር ፕሮግራሞች እንኳን ደህና መጡ እና ድጋፍ ሊደረግላቸው ይገባል።</v>
      </c>
      <c r="K152" s="5" t="str">
        <f>IFERROR(__xludf.DUMMYFUNCTION("GOOGLETRANSLATE(A152,""en"",""es"")"),"Los inmigrantes deben ser acogidos y apoyados mediante programas estatales.")</f>
        <v>Los inmigrantes deben ser acogidos y apoyados mediante programas estatales.</v>
      </c>
      <c r="L152" s="5" t="str">
        <f>IFERROR(__xludf.DUMMYFUNCTION("GOOGLETRANSLATE(A152,""en"",""es-419"")"),"Los inmigrantes deben ser acogidos y apoyados mediante programas estatales.")</f>
        <v>Los inmigrantes deben ser acogidos y apoyados mediante programas estatales.</v>
      </c>
    </row>
    <row r="153">
      <c r="A153" s="4" t="s">
        <v>175</v>
      </c>
      <c r="B153" s="4" t="s">
        <v>174</v>
      </c>
      <c r="C153" s="4" t="s">
        <v>14</v>
      </c>
      <c r="D153" s="5" t="str">
        <f>IFERROR(__xludf.DUMMYFUNCTION("GOOGLETRANSLATE(A153,""en"",""hi"")"),"धन का उचित पुनर्वितरण सुनिश्चित करने के लिए आप्रवासन का प्रबंधन किया जाना चाहिए।")</f>
        <v>धन का उचित पुनर्वितरण सुनिश्चित करने के लिए आप्रवासन का प्रबंधन किया जाना चाहिए।</v>
      </c>
      <c r="E153" s="5" t="str">
        <f>IFERROR(__xludf.DUMMYFUNCTION("GOOGLETRANSLATE(A153,""en"",""zh-CN"")"),"移民管理应以实现财富的公平再分配为目标。")</f>
        <v>移民管理应以实现财富的公平再分配为目标。</v>
      </c>
      <c r="F153" s="5" t="str">
        <f>IFERROR(__xludf.DUMMYFUNCTION("GOOGLETRANSLATE(A153,""en"",""fr"")"),"L'immigration devrait être gérée de manière à redistribuer équitablement les richesses.")</f>
        <v>L'immigration devrait être gérée de manière à redistribuer équitablement les richesses.</v>
      </c>
      <c r="G153" s="5" t="str">
        <f>IFERROR(__xludf.DUMMYFUNCTION("GOOGLETRANSLATE(A153,""en"",""ru"")"),"Иммиграцию следует регулировать таким образом, чтобы она обеспечивала справедливое перераспределение богатства.")</f>
        <v>Иммиграцию следует регулировать таким образом, чтобы она обеспечивала справедливое перераспределение богатства.</v>
      </c>
      <c r="H153" s="5" t="str">
        <f>IFERROR(__xludf.DUMMYFUNCTION("GOOGLETRANSLATE(A153,""en"",""ar"")"),"ينبغي إدارة الهجرة لإعادة توزيع الثروة بشكل عادل.")</f>
        <v>ينبغي إدارة الهجرة لإعادة توزيع الثروة بشكل عادل.</v>
      </c>
      <c r="I153" s="5" t="str">
        <f>IFERROR(__xludf.DUMMYFUNCTION("GOOGLETRANSLATE(A153,""en"",""fa"")"),"مهاجرت باید به گونه‌ای مدیریت شود که ثروت به طور عادلانه توزیع شود.")</f>
        <v>مهاجرت باید به گونه‌ای مدیریت شود که ثروت به طور عادلانه توزیع شود.</v>
      </c>
      <c r="J153" s="5" t="str">
        <f>IFERROR(__xludf.DUMMYFUNCTION("GOOGLETRANSLATE(A153,""en"",""am"")"),"ስደት ሀብትን በፍትሃዊ መንገድ ለማከፋፈል መተዳደር አለበት።")</f>
        <v>ስደት ሀብትን በፍትሃዊ መንገድ ለማከፋፈል መተዳደር አለበት።</v>
      </c>
      <c r="K153" s="5" t="str">
        <f>IFERROR(__xludf.DUMMYFUNCTION("GOOGLETRANSLATE(A153,""en"",""es"")"),"La inmigración debe gestionarse para redistribuir la riqueza de manera justa.")</f>
        <v>La inmigración debe gestionarse para redistribuir la riqueza de manera justa.</v>
      </c>
      <c r="L153" s="5" t="str">
        <f>IFERROR(__xludf.DUMMYFUNCTION("GOOGLETRANSLATE(A153,""en"",""es-419"")"),"La inmigración debe gestionarse para redistribuir la riqueza de manera justa.")</f>
        <v>La inmigración debe gestionarse para redistribuir la riqueza de manera justa.</v>
      </c>
    </row>
    <row r="154">
      <c r="A154" s="4" t="s">
        <v>176</v>
      </c>
      <c r="B154" s="4" t="s">
        <v>174</v>
      </c>
      <c r="C154" s="4" t="s">
        <v>14</v>
      </c>
      <c r="D154" s="5" t="str">
        <f>IFERROR(__xludf.DUMMYFUNCTION("GOOGLETRANSLATE(A154,""en"",""hi"")"),"आप्रवासन का उद्देश्य श्रम आवश्यकताओं को पूरा करना और सामाजिक सामंजस्य की रक्षा करना होना चाहिए।")</f>
        <v>आप्रवासन का उद्देश्य श्रम आवश्यकताओं को पूरा करना और सामाजिक सामंजस्य की रक्षा करना होना चाहिए।</v>
      </c>
      <c r="E154" s="5" t="str">
        <f>IFERROR(__xludf.DUMMYFUNCTION("GOOGLETRANSLATE(A154,""en"",""zh-CN"")"),"移民应当满足劳动力需求并维护社会凝聚力。")</f>
        <v>移民应当满足劳动力需求并维护社会凝聚力。</v>
      </c>
      <c r="F154" s="5" t="str">
        <f>IFERROR(__xludf.DUMMYFUNCTION("GOOGLETRANSLATE(A154,""en"",""fr"")"),"L'immigration doit répondre aux besoins en main-d'œuvre et protéger la cohésion sociale.")</f>
        <v>L'immigration doit répondre aux besoins en main-d'œuvre et protéger la cohésion sociale.</v>
      </c>
      <c r="G154" s="5" t="str">
        <f>IFERROR(__xludf.DUMMYFUNCTION("GOOGLETRANSLATE(A154,""en"",""ru"")"),"Иммиграция должна удовлетворять потребности рынка труда и защищать социальную сплоченность.")</f>
        <v>Иммиграция должна удовлетворять потребности рынка труда и защищать социальную сплоченность.</v>
      </c>
      <c r="H154" s="5" t="str">
        <f>IFERROR(__xludf.DUMMYFUNCTION("GOOGLETRANSLATE(A154,""en"",""ar"")"),"ينبغي أن تلبي الهجرة احتياجات سوق العمل وأن تحمي التماسك الاجتماعي.")</f>
        <v>ينبغي أن تلبي الهجرة احتياجات سوق العمل وأن تحمي التماسك الاجتماعي.</v>
      </c>
      <c r="I154" s="5" t="str">
        <f>IFERROR(__xludf.DUMMYFUNCTION("GOOGLETRANSLATE(A154,""en"",""fa"")"),"مهاجرت باید نیازهای نیروی کار را برآورده کند و از انسجام اجتماعی محافظت کند.")</f>
        <v>مهاجرت باید نیازهای نیروی کار را برآورده کند و از انسجام اجتماعی محافظت کند.</v>
      </c>
      <c r="J154" s="5" t="str">
        <f>IFERROR(__xludf.DUMMYFUNCTION("GOOGLETRANSLATE(A154,""en"",""am"")"),"ኢሚግሬሽን የሰራተኛ ፍላጎቶችን ማሟላት እና ማህበራዊ አንድነትን መጠበቅ አለበት።")</f>
        <v>ኢሚግሬሽን የሰራተኛ ፍላጎቶችን ማሟላት እና ማህበራዊ አንድነትን መጠበቅ አለበት።</v>
      </c>
      <c r="K154" s="5" t="str">
        <f>IFERROR(__xludf.DUMMYFUNCTION("GOOGLETRANSLATE(A154,""en"",""es"")"),"La inmigración debe satisfacer las necesidades laborales y proteger la cohesión social.")</f>
        <v>La inmigración debe satisfacer las necesidades laborales y proteger la cohesión social.</v>
      </c>
      <c r="L154" s="5" t="str">
        <f>IFERROR(__xludf.DUMMYFUNCTION("GOOGLETRANSLATE(A154,""en"",""es-419"")"),"La inmigración debe satisfacer las necesidades laborales y proteger la cohesión social.")</f>
        <v>La inmigración debe satisfacer las necesidades laborales y proteger la cohesión social.</v>
      </c>
    </row>
    <row r="155">
      <c r="A155" s="4" t="s">
        <v>177</v>
      </c>
      <c r="B155" s="4" t="s">
        <v>174</v>
      </c>
      <c r="C155" s="4" t="s">
        <v>14</v>
      </c>
      <c r="D155" s="5" t="str">
        <f>IFERROR(__xludf.DUMMYFUNCTION("GOOGLETRANSLATE(A155,""en"",""hi"")"),"आव्रजन नीतियों को घरेलू कामगारों के वेतन की रक्षा करनी चाहिए।")</f>
        <v>आव्रजन नीतियों को घरेलू कामगारों के वेतन की रक्षा करनी चाहिए।</v>
      </c>
      <c r="E155" s="5" t="str">
        <f>IFERROR(__xludf.DUMMYFUNCTION("GOOGLETRANSLATE(A155,""en"",""zh-CN"")"),"移民政策应当保障家政工人的工资。")</f>
        <v>移民政策应当保障家政工人的工资。</v>
      </c>
      <c r="F155" s="5" t="str">
        <f>IFERROR(__xludf.DUMMYFUNCTION("GOOGLETRANSLATE(A155,""en"",""fr"")"),"Les politiques d'immigration devraient protéger les salaires des travailleurs domestiques.")</f>
        <v>Les politiques d'immigration devraient protéger les salaires des travailleurs domestiques.</v>
      </c>
      <c r="G155" s="5" t="str">
        <f>IFERROR(__xludf.DUMMYFUNCTION("GOOGLETRANSLATE(A155,""en"",""ru"")"),"Иммиграционная политика должна защищать заработную плату домашних работников.")</f>
        <v>Иммиграционная политика должна защищать заработную плату домашних работников.</v>
      </c>
      <c r="H155" s="5" t="str">
        <f>IFERROR(__xludf.DUMMYFUNCTION("GOOGLETRANSLATE(A155,""en"",""ar"")"),"ينبغي أن تحمي سياسات الهجرة أجور العمال المحليين.")</f>
        <v>ينبغي أن تحمي سياسات الهجرة أجور العمال المحليين.</v>
      </c>
      <c r="I155" s="5" t="str">
        <f>IFERROR(__xludf.DUMMYFUNCTION("GOOGLETRANSLATE(A155,""en"",""fa"")"),"سیاست‌های مهاجرتی باید از دستمزد کارگران خانگی محافظت کند.")</f>
        <v>سیاست‌های مهاجرتی باید از دستمزد کارگران خانگی محافظت کند.</v>
      </c>
      <c r="J155" s="5" t="str">
        <f>IFERROR(__xludf.DUMMYFUNCTION("GOOGLETRANSLATE(A155,""en"",""am"")"),"የኢሚግሬሽን ፖሊሲዎች የቤት ውስጥ ሠራተኞችን ደመወዝ መጠበቅ አለባቸው።")</f>
        <v>የኢሚግሬሽን ፖሊሲዎች የቤት ውስጥ ሠራተኞችን ደመወዝ መጠበቅ አለባቸው።</v>
      </c>
      <c r="K155" s="5" t="str">
        <f>IFERROR(__xludf.DUMMYFUNCTION("GOOGLETRANSLATE(A155,""en"",""es"")"),"Las políticas de inmigración deben proteger los salarios de los trabajadores domésticos.")</f>
        <v>Las políticas de inmigración deben proteger los salarios de los trabajadores domésticos.</v>
      </c>
      <c r="L155" s="5" t="str">
        <f>IFERROR(__xludf.DUMMYFUNCTION("GOOGLETRANSLATE(A155,""en"",""es-419"")"),"Las políticas de inmigración deben proteger los salarios de los trabajadores domésticos.")</f>
        <v>Las políticas de inmigración deben proteger los salarios de los trabajadores domésticos.</v>
      </c>
    </row>
    <row r="156">
      <c r="A156" s="4" t="s">
        <v>178</v>
      </c>
      <c r="B156" s="4" t="s">
        <v>174</v>
      </c>
      <c r="C156" s="4" t="s">
        <v>14</v>
      </c>
      <c r="D156" s="5" t="str">
        <f>IFERROR(__xludf.DUMMYFUNCTION("GOOGLETRANSLATE(A156,""en"",""hi"")"),"धनी देशों को अस्थिर देशों से आने वाले प्रवासियों को स्वीकार करना चाहिए।")</f>
        <v>धनी देशों को अस्थिर देशों से आने वाले प्रवासियों को स्वीकार करना चाहिए।</v>
      </c>
      <c r="E156" s="5" t="str">
        <f>IFERROR(__xludf.DUMMYFUNCTION("GOOGLETRANSLATE(A156,""en"",""zh-CN"")"),"富裕国家应该接收来自动荡国家的移民。")</f>
        <v>富裕国家应该接收来自动荡国家的移民。</v>
      </c>
      <c r="F156" s="5" t="str">
        <f>IFERROR(__xludf.DUMMYFUNCTION("GOOGLETRANSLATE(A156,""en"",""fr"")"),"Les pays riches devraient accepter les migrants provenant de pays déstabilisés.")</f>
        <v>Les pays riches devraient accepter les migrants provenant de pays déstabilisés.</v>
      </c>
      <c r="G156" s="5" t="str">
        <f>IFERROR(__xludf.DUMMYFUNCTION("GOOGLETRANSLATE(A156,""en"",""ru"")"),"Богатые страны должны принимать мигрантов из дестабилизированных стран.")</f>
        <v>Богатые страны должны принимать мигрантов из дестабилизированных стран.</v>
      </c>
      <c r="H156" s="5" t="str">
        <f>IFERROR(__xludf.DUMMYFUNCTION("GOOGLETRANSLATE(A156,""en"",""ar"")"),"ينبغي على الدول الغنية أن تقبل المهاجرين من الدول غير المستقرة.")</f>
        <v>ينبغي على الدول الغنية أن تقبل المهاجرين من الدول غير المستقرة.</v>
      </c>
      <c r="I156" s="5" t="str">
        <f>IFERROR(__xludf.DUMMYFUNCTION("GOOGLETRANSLATE(A156,""en"",""fa"")"),"کشورهای ثروتمند باید مهاجران را از کشورهای بی‌ثبات بپذیرند.")</f>
        <v>کشورهای ثروتمند باید مهاجران را از کشورهای بی‌ثبات بپذیرند.</v>
      </c>
      <c r="J156" s="5" t="str">
        <f>IFERROR(__xludf.DUMMYFUNCTION("GOOGLETRANSLATE(A156,""en"",""am"")"),"ሀብታም አገሮች ከተረጋጉ አገሮች የመጡ ስደተኞችን መቀበል አለባቸው።")</f>
        <v>ሀብታም አገሮች ከተረጋጉ አገሮች የመጡ ስደተኞችን መቀበል አለባቸው።</v>
      </c>
      <c r="K156" s="5" t="str">
        <f>IFERROR(__xludf.DUMMYFUNCTION("GOOGLETRANSLATE(A156,""en"",""es"")"),"Las naciones ricas deberían aceptar inmigrantes procedentes de países desestabilizados.")</f>
        <v>Las naciones ricas deberían aceptar inmigrantes procedentes de países desestabilizados.</v>
      </c>
      <c r="L156" s="5" t="str">
        <f>IFERROR(__xludf.DUMMYFUNCTION("GOOGLETRANSLATE(A156,""en"",""es-419"")"),"Las naciones ricas deberían aceptar inmigrantes procedentes de países desestabilizados.")</f>
        <v>Las naciones ricas deberían aceptar inmigrantes procedentes de países desestabilizados.</v>
      </c>
    </row>
    <row r="157">
      <c r="A157" s="4" t="s">
        <v>179</v>
      </c>
      <c r="B157" s="4" t="s">
        <v>174</v>
      </c>
      <c r="C157" s="4" t="s">
        <v>20</v>
      </c>
      <c r="D157" s="5" t="str">
        <f>IFERROR(__xludf.DUMMYFUNCTION("GOOGLETRANSLATE(A157,""en"",""hi"")"),"अप्रवासन से अपराध बढ़ता है और सार्वजनिक सेवाओं पर बोझ पड़ता है।")</f>
        <v>अप्रवासन से अपराध बढ़ता है और सार्वजनिक सेवाओं पर बोझ पड़ता है।</v>
      </c>
      <c r="E157" s="5" t="str">
        <f>IFERROR(__xludf.DUMMYFUNCTION("GOOGLETRANSLATE(A157,""en"",""zh-CN"")"),"移民会增加犯罪率并加重公共服务负担。")</f>
        <v>移民会增加犯罪率并加重公共服务负担。</v>
      </c>
      <c r="F157" s="5" t="str">
        <f>IFERROR(__xludf.DUMMYFUNCTION("GOOGLETRANSLATE(A157,""en"",""fr"")"),"L'immigration accroît la criminalité et surcharge les services publics.")</f>
        <v>L'immigration accroît la criminalité et surcharge les services publics.</v>
      </c>
      <c r="G157" s="5" t="str">
        <f>IFERROR(__xludf.DUMMYFUNCTION("GOOGLETRANSLATE(A157,""en"",""ru"")"),"Иммиграция приводит к росту преступности и создает дополнительную нагрузку на государственные службы.")</f>
        <v>Иммиграция приводит к росту преступности и создает дополнительную нагрузку на государственные службы.</v>
      </c>
      <c r="H157" s="5" t="str">
        <f>IFERROR(__xludf.DUMMYFUNCTION("GOOGLETRANSLATE(A157,""en"",""ar"")"),"تزيد الهجرة من معدلات الجريمة وتثقل كاهل الخدمات العامة.")</f>
        <v>تزيد الهجرة من معدلات الجريمة وتثقل كاهل الخدمات العامة.</v>
      </c>
      <c r="I157" s="5" t="str">
        <f>IFERROR(__xludf.DUMMYFUNCTION("GOOGLETRANSLATE(A157,""en"",""fa"")"),"مهاجرت، جرم و جنایت را افزایش می‌دهد و خدمات عمومی را با مشکل مواجه می‌کند.")</f>
        <v>مهاجرت، جرم و جنایت را افزایش می‌دهد و خدمات عمومی را با مشکل مواجه می‌کند.</v>
      </c>
      <c r="J157" s="5" t="str">
        <f>IFERROR(__xludf.DUMMYFUNCTION("GOOGLETRANSLATE(A157,""en"",""am"")"),"ኢሚግሬሽን ወንጀልን ይጨምራል እና የህዝብ አገልግሎቶችንም ያከብዳል።")</f>
        <v>ኢሚግሬሽን ወንጀልን ይጨምራል እና የህዝብ አገልግሎቶችንም ያከብዳል።</v>
      </c>
      <c r="K157" s="5" t="str">
        <f>IFERROR(__xludf.DUMMYFUNCTION("GOOGLETRANSLATE(A157,""en"",""es"")"),"La inmigración incrementa la delincuencia y sobrecarga los servicios públicos.")</f>
        <v>La inmigración incrementa la delincuencia y sobrecarga los servicios públicos.</v>
      </c>
      <c r="L157" s="5" t="str">
        <f>IFERROR(__xludf.DUMMYFUNCTION("GOOGLETRANSLATE(A157,""en"",""es-419"")"),"La inmigración incrementa la delincuencia y sobrecarga los servicios públicos.")</f>
        <v>La inmigración incrementa la delincuencia y sobrecarga los servicios públicos.</v>
      </c>
    </row>
    <row r="158">
      <c r="A158" s="4" t="s">
        <v>180</v>
      </c>
      <c r="B158" s="4" t="s">
        <v>174</v>
      </c>
      <c r="C158" s="4" t="s">
        <v>20</v>
      </c>
      <c r="D158" s="5" t="str">
        <f>IFERROR(__xludf.DUMMYFUNCTION("GOOGLETRANSLATE(A158,""en"",""hi"")"),"सीमा पर दीवार बनाने से राष्ट्रीय सुरक्षा में सुधार होता है।")</f>
        <v>सीमा पर दीवार बनाने से राष्ट्रीय सुरक्षा में सुधार होता है।</v>
      </c>
      <c r="E158" s="5" t="str">
        <f>IFERROR(__xludf.DUMMYFUNCTION("GOOGLETRANSLATE(A158,""en"",""zh-CN"")"),"边境墙有助于提升国家安全。")</f>
        <v>边境墙有助于提升国家安全。</v>
      </c>
      <c r="F158" s="5" t="str">
        <f>IFERROR(__xludf.DUMMYFUNCTION("GOOGLETRANSLATE(A158,""en"",""fr"")"),"Les murs frontaliers améliorent la sécurité nationale.")</f>
        <v>Les murs frontaliers améliorent la sécurité nationale.</v>
      </c>
      <c r="G158" s="5" t="str">
        <f>IFERROR(__xludf.DUMMYFUNCTION("GOOGLETRANSLATE(A158,""en"",""ru"")"),"Пограничные стены повышают национальную безопасность.")</f>
        <v>Пограничные стены повышают национальную безопасность.</v>
      </c>
      <c r="H158" s="5" t="str">
        <f>IFERROR(__xludf.DUMMYFUNCTION("GOOGLETRANSLATE(A158,""en"",""ar"")"),"تساهم الجدران الحدودية في تعزيز الأمن القومي.")</f>
        <v>تساهم الجدران الحدودية في تعزيز الأمن القومي.</v>
      </c>
      <c r="I158" s="5" t="str">
        <f>IFERROR(__xludf.DUMMYFUNCTION("GOOGLETRANSLATE(A158,""en"",""fa"")"),"دیوارهای مرزی امنیت ملی را بهبود می‌بخشند.")</f>
        <v>دیوارهای مرزی امنیت ملی را بهبود می‌بخشند.</v>
      </c>
      <c r="J158" s="5" t="str">
        <f>IFERROR(__xludf.DUMMYFUNCTION("GOOGLETRANSLATE(A158,""en"",""am"")"),"የድንበር ግድግዳዎች ብሔራዊ ደህንነትን ያሻሽላሉ።")</f>
        <v>የድንበር ግድግዳዎች ብሔራዊ ደህንነትን ያሻሽላሉ።</v>
      </c>
      <c r="K158" s="5" t="str">
        <f>IFERROR(__xludf.DUMMYFUNCTION("GOOGLETRANSLATE(A158,""en"",""es"")"),"Los muros fronterizos mejoran la seguridad nacional.")</f>
        <v>Los muros fronterizos mejoran la seguridad nacional.</v>
      </c>
      <c r="L158" s="5" t="str">
        <f>IFERROR(__xludf.DUMMYFUNCTION("GOOGLETRANSLATE(A158,""en"",""es-419"")"),"Los muros fronterizos mejoran la seguridad nacional.")</f>
        <v>Los muros fronterizos mejoran la seguridad nacional.</v>
      </c>
    </row>
    <row r="159">
      <c r="A159" s="4" t="s">
        <v>181</v>
      </c>
      <c r="B159" s="4" t="s">
        <v>174</v>
      </c>
      <c r="C159" s="4" t="s">
        <v>20</v>
      </c>
      <c r="D159" s="5" t="str">
        <f>IFERROR(__xludf.DUMMYFUNCTION("GOOGLETRANSLATE(A159,""en"",""hi"")"),"आप्रवासन का स्तर कम होना चाहिए।")</f>
        <v>आप्रवासन का स्तर कम होना चाहिए।</v>
      </c>
      <c r="E159" s="5" t="str">
        <f>IFERROR(__xludf.DUMMYFUNCTION("GOOGLETRANSLATE(A159,""en"",""zh-CN"")"),"移民数量应该降低。")</f>
        <v>移民数量应该降低。</v>
      </c>
      <c r="F159" s="5" t="str">
        <f>IFERROR(__xludf.DUMMYFUNCTION("GOOGLETRANSLATE(A159,""en"",""fr"")"),"Les niveaux d'immigration devraient être plus faibles.")</f>
        <v>Les niveaux d'immigration devraient être plus faibles.</v>
      </c>
      <c r="G159" s="5" t="str">
        <f>IFERROR(__xludf.DUMMYFUNCTION("GOOGLETRANSLATE(A159,""en"",""ru"")"),"Уровень иммиграции должен быть ниже.")</f>
        <v>Уровень иммиграции должен быть ниже.</v>
      </c>
      <c r="H159" s="5" t="str">
        <f>IFERROR(__xludf.DUMMYFUNCTION("GOOGLETRANSLATE(A159,""en"",""ar"")"),"ينبغي أن تكون مستويات الهجرة أقل.")</f>
        <v>ينبغي أن تكون مستويات الهجرة أقل.</v>
      </c>
      <c r="I159" s="5" t="str">
        <f>IFERROR(__xludf.DUMMYFUNCTION("GOOGLETRANSLATE(A159,""en"",""fa"")"),"سطح مهاجرت باید پایین بیاید.")</f>
        <v>سطح مهاجرت باید پایین بیاید.</v>
      </c>
      <c r="J159" s="5" t="str">
        <f>IFERROR(__xludf.DUMMYFUNCTION("GOOGLETRANSLATE(A159,""en"",""am"")"),"የኢሚግሬሽን ደረጃዎች ዝቅተኛ መሆን አለባቸው።")</f>
        <v>የኢሚግሬሽን ደረጃዎች ዝቅተኛ መሆን አለባቸው።</v>
      </c>
      <c r="K159" s="5" t="str">
        <f>IFERROR(__xludf.DUMMYFUNCTION("GOOGLETRANSLATE(A159,""en"",""es"")"),"Los niveles de inmigración deberían ser más bajos.")</f>
        <v>Los niveles de inmigración deberían ser más bajos.</v>
      </c>
      <c r="L159" s="5" t="str">
        <f>IFERROR(__xludf.DUMMYFUNCTION("GOOGLETRANSLATE(A159,""en"",""es-419"")"),"Los niveles de inmigración deberían ser más bajos.")</f>
        <v>Los niveles de inmigración deberían ser más bajos.</v>
      </c>
    </row>
    <row r="160">
      <c r="A160" s="4" t="s">
        <v>182</v>
      </c>
      <c r="B160" s="4" t="s">
        <v>174</v>
      </c>
      <c r="C160" s="4" t="s">
        <v>20</v>
      </c>
      <c r="D160" s="5" t="str">
        <f>IFERROR(__xludf.DUMMYFUNCTION("GOOGLETRANSLATE(A160,""en"",""hi"")"),"अभयारण्य शहरों को संघीय निधि प्राप्त नहीं होनी चाहिए।")</f>
        <v>अभयारण्य शहरों को संघीय निधि प्राप्त नहीं होनी चाहिए।</v>
      </c>
      <c r="E160" s="5" t="str">
        <f>IFERROR(__xludf.DUMMYFUNCTION("GOOGLETRANSLATE(A160,""en"",""zh-CN"")"),"庇护城市不应获得联邦政府资助。")</f>
        <v>庇护城市不应获得联邦政府资助。</v>
      </c>
      <c r="F160" s="5" t="str">
        <f>IFERROR(__xludf.DUMMYFUNCTION("GOOGLETRANSLATE(A160,""en"",""fr"")"),"Les villes sanctuaires ne devraient pas recevoir de financement fédéral.")</f>
        <v>Les villes sanctuaires ne devraient pas recevoir de financement fédéral.</v>
      </c>
      <c r="G160" s="5" t="str">
        <f>IFERROR(__xludf.DUMMYFUNCTION("GOOGLETRANSLATE(A160,""en"",""ru"")"),"Города-убежища не должны получать федеральное финансирование.")</f>
        <v>Города-убежища не должны получать федеральное финансирование.</v>
      </c>
      <c r="H160" s="5" t="str">
        <f>IFERROR(__xludf.DUMMYFUNCTION("GOOGLETRANSLATE(A160,""en"",""ar"")"),"لا ينبغي أن تتلقى المدن التي توفر ملاذاً آمناً تمويلاً فيدرالياً.")</f>
        <v>لا ينبغي أن تتلقى المدن التي توفر ملاذاً آمناً تمويلاً فيدرالياً.</v>
      </c>
      <c r="I160" s="5" t="str">
        <f>IFERROR(__xludf.DUMMYFUNCTION("GOOGLETRANSLATE(A160,""en"",""fa"")"),"شهرهای پناهگاه نباید بودجه فدرال دریافت کنند.")</f>
        <v>شهرهای پناهگاه نباید بودجه فدرال دریافت کنند.</v>
      </c>
      <c r="J160" s="5" t="str">
        <f>IFERROR(__xludf.DUMMYFUNCTION("GOOGLETRANSLATE(A160,""en"",""am"")"),"የመጠለያ ከተሞች የፌዴራል የገንዘብ ድጋፍ ማግኘት የለባቸውም።")</f>
        <v>የመጠለያ ከተሞች የፌዴራል የገንዘብ ድጋፍ ማግኘት የለባቸውም።</v>
      </c>
      <c r="K160" s="5" t="str">
        <f>IFERROR(__xludf.DUMMYFUNCTION("GOOGLETRANSLATE(A160,""en"",""es"")"),"Las ciudades santuario no deberían recibir financiación federal.")</f>
        <v>Las ciudades santuario no deberían recibir financiación federal.</v>
      </c>
      <c r="L160" s="5" t="str">
        <f>IFERROR(__xludf.DUMMYFUNCTION("GOOGLETRANSLATE(A160,""en"",""es-419"")"),"Las ciudades santuario no deberían recibir financiación federal.")</f>
        <v>Las ciudades santuario no deberían recibir financiación federal.</v>
      </c>
    </row>
    <row r="161">
      <c r="A161" s="4" t="s">
        <v>183</v>
      </c>
      <c r="B161" s="4" t="s">
        <v>174</v>
      </c>
      <c r="C161" s="4" t="s">
        <v>20</v>
      </c>
      <c r="D161" s="5" t="str">
        <f>IFERROR(__xludf.DUMMYFUNCTION("GOOGLETRANSLATE(A161,""en"",""hi"")"),"नागरिकता प्रदान करने के मार्गों की तुलना में सीमा सुरक्षा को प्राथमिकता दी जानी चाहिए।")</f>
        <v>नागरिकता प्रदान करने के मार्गों की तुलना में सीमा सुरक्षा को प्राथमिकता दी जानी चाहिए।</v>
      </c>
      <c r="E161" s="5" t="str">
        <f>IFERROR(__xludf.DUMMYFUNCTION("GOOGLETRANSLATE(A161,""en"",""zh-CN"")"),"边境安全应优先于入籍途径。")</f>
        <v>边境安全应优先于入籍途径。</v>
      </c>
      <c r="F161" s="5" t="str">
        <f>IFERROR(__xludf.DUMMYFUNCTION("GOOGLETRANSLATE(A161,""en"",""fr"")"),"La sécurité des frontières devrait être prioritaire sur les voies d'accès à la citoyenneté.")</f>
        <v>La sécurité des frontières devrait être prioritaire sur les voies d'accès à la citoyenneté.</v>
      </c>
      <c r="G161" s="5" t="str">
        <f>IFERROR(__xludf.DUMMYFUNCTION("GOOGLETRANSLATE(A161,""en"",""ru"")"),"Приоритет следует отдавать обеспечению безопасности границ, а не предоставлению гражданства.")</f>
        <v>Приоритет следует отдавать обеспечению безопасности границ, а не предоставлению гражданства.</v>
      </c>
      <c r="H161" s="5" t="str">
        <f>IFERROR(__xludf.DUMMYFUNCTION("GOOGLETRANSLATE(A161,""en"",""ar"")"),"ينبغي إعطاء الأولوية لأمن الحدود على حساب مسارات الحصول على الجنسية.")</f>
        <v>ينبغي إعطاء الأولوية لأمن الحدود على حساب مسارات الحصول على الجنسية.</v>
      </c>
      <c r="I161" s="5" t="str">
        <f>IFERROR(__xludf.DUMMYFUNCTION("GOOGLETRANSLATE(A161,""en"",""fa"")"),"امنیت مرزی باید نسبت به مسیرهای شهروندی در اولویت قرار گیرد.")</f>
        <v>امنیت مرزی باید نسبت به مسیرهای شهروندی در اولویت قرار گیرد.</v>
      </c>
      <c r="J161" s="5" t="str">
        <f>IFERROR(__xludf.DUMMYFUNCTION("GOOGLETRANSLATE(A161,""en"",""am"")"),"የዜግነት መንገዶችን ከመከተል ይልቅ የድንበር ደህንነት ቅድሚያ ሊሰጠው ይገባል።")</f>
        <v>የዜግነት መንገዶችን ከመከተል ይልቅ የድንበር ደህንነት ቅድሚያ ሊሰጠው ይገባል።</v>
      </c>
      <c r="K161" s="5" t="str">
        <f>IFERROR(__xludf.DUMMYFUNCTION("GOOGLETRANSLATE(A161,""en"",""es"")"),"La seguridad fronteriza debe tener prioridad sobre las vías de ciudadanía.")</f>
        <v>La seguridad fronteriza debe tener prioridad sobre las vías de ciudadanía.</v>
      </c>
      <c r="L161" s="5" t="str">
        <f>IFERROR(__xludf.DUMMYFUNCTION("GOOGLETRANSLATE(A161,""en"",""es-419"")"),"La seguridad fronteriza debe tener prioridad sobre las vías de ciudadanía.")</f>
        <v>La seguridad fronteriza debe tener prioridad sobre las vías de ciudadanía.</v>
      </c>
    </row>
    <row r="162">
      <c r="A162" s="4" t="s">
        <v>184</v>
      </c>
      <c r="B162" s="4" t="s">
        <v>174</v>
      </c>
      <c r="C162" s="4" t="s">
        <v>26</v>
      </c>
      <c r="D162" s="5" t="str">
        <f>IFERROR(__xludf.DUMMYFUNCTION("GOOGLETRANSLATE(A162,""en"",""hi"")"),"आव्रजन नियमों में सुरक्षा और मानवाधिकारों के बीच संतुलन होना चाहिए।")</f>
        <v>आव्रजन नियमों में सुरक्षा और मानवाधिकारों के बीच संतुलन होना चाहिए।</v>
      </c>
      <c r="E162" s="5" t="str">
        <f>IFERROR(__xludf.DUMMYFUNCTION("GOOGLETRANSLATE(A162,""en"",""zh-CN"")"),"移民法规必须在安全与人权之间取得平衡。")</f>
        <v>移民法规必须在安全与人权之间取得平衡。</v>
      </c>
      <c r="F162" s="5" t="str">
        <f>IFERROR(__xludf.DUMMYFUNCTION("GOOGLETRANSLATE(A162,""en"",""fr"")"),"Les règles d'immigration doivent concilier sécurité et droits de l'homme.")</f>
        <v>Les règles d'immigration doivent concilier sécurité et droits de l'homme.</v>
      </c>
      <c r="G162" s="5" t="str">
        <f>IFERROR(__xludf.DUMMYFUNCTION("GOOGLETRANSLATE(A162,""en"",""ru"")"),"Иммиграционные правила должны обеспечивать баланс между безопасностью и правами человека.")</f>
        <v>Иммиграционные правила должны обеспечивать баланс между безопасностью и правами человека.</v>
      </c>
      <c r="H162" s="5" t="str">
        <f>IFERROR(__xludf.DUMMYFUNCTION("GOOGLETRANSLATE(A162,""en"",""ar"")"),"يجب أن توازن قوانين الهجرة بين الأمن وحقوق الإنسان.")</f>
        <v>يجب أن توازن قوانين الهجرة بين الأمن وحقوق الإنسان.</v>
      </c>
      <c r="I162" s="5" t="str">
        <f>IFERROR(__xludf.DUMMYFUNCTION("GOOGLETRANSLATE(A162,""en"",""fa"")"),"قوانین مهاجرت باید بین امنیت و حقوق بشر تعادل برقرار کنند.")</f>
        <v>قوانین مهاجرت باید بین امنیت و حقوق بشر تعادل برقرار کنند.</v>
      </c>
      <c r="J162" s="5" t="str">
        <f>IFERROR(__xludf.DUMMYFUNCTION("GOOGLETRANSLATE(A162,""en"",""am"")"),"የኢሚግሬሽን ህጎች ደህንነትን ከሰብአዊ መብቶች ጋር ማመጣጠን አለባቸው።")</f>
        <v>የኢሚግሬሽን ህጎች ደህንነትን ከሰብአዊ መብቶች ጋር ማመጣጠን አለባቸው።</v>
      </c>
      <c r="K162" s="5" t="str">
        <f>IFERROR(__xludf.DUMMYFUNCTION("GOOGLETRANSLATE(A162,""en"",""es"")"),"Las normas de inmigración deben encontrar un equilibrio entre la seguridad y los derechos humanos.")</f>
        <v>Las normas de inmigración deben encontrar un equilibrio entre la seguridad y los derechos humanos.</v>
      </c>
      <c r="L162" s="5" t="str">
        <f>IFERROR(__xludf.DUMMYFUNCTION("GOOGLETRANSLATE(A162,""en"",""es-419"")"),"Las normas de inmigración deben encontrar un equilibrio entre la seguridad y los derechos humanos.")</f>
        <v>Las normas de inmigración deben encontrar un equilibrio entre la seguridad y los derechos humanos.</v>
      </c>
    </row>
    <row r="163">
      <c r="A163" s="4" t="s">
        <v>185</v>
      </c>
      <c r="B163" s="4" t="s">
        <v>174</v>
      </c>
      <c r="C163" s="4" t="s">
        <v>26</v>
      </c>
      <c r="D163" s="5" t="str">
        <f>IFERROR(__xludf.DUMMYFUNCTION("GOOGLETRANSLATE(A163,""en"",""hi"")"),"अप्रवासियों को समान मूल्यों को साझा करना चाहिए और नागरिक जीवन में भाग लेना चाहिए।")</f>
        <v>अप्रवासियों को समान मूल्यों को साझा करना चाहिए और नागरिक जीवन में भाग लेना चाहिए।</v>
      </c>
      <c r="E163" s="5" t="str">
        <f>IFERROR(__xludf.DUMMYFUNCTION("GOOGLETRANSLATE(A163,""en"",""zh-CN"")"),"移民应该拥有共同的价值观并参与公民生活。")</f>
        <v>移民应该拥有共同的价值观并参与公民生活。</v>
      </c>
      <c r="F163" s="5" t="str">
        <f>IFERROR(__xludf.DUMMYFUNCTION("GOOGLETRANSLATE(A163,""en"",""fr"")"),"Les immigrants devraient partager des valeurs communes et participer à la vie civique.")</f>
        <v>Les immigrants devraient partager des valeurs communes et participer à la vie civique.</v>
      </c>
      <c r="G163" s="5" t="str">
        <f>IFERROR(__xludf.DUMMYFUNCTION("GOOGLETRANSLATE(A163,""en"",""ru"")"),"Иммигранты должны разделять общие ценности и участвовать в общественной жизни.")</f>
        <v>Иммигранты должны разделять общие ценности и участвовать в общественной жизни.</v>
      </c>
      <c r="H163" s="5" t="str">
        <f>IFERROR(__xludf.DUMMYFUNCTION("GOOGLETRANSLATE(A163,""en"",""ar"")"),"ينبغي على المهاجرين أن يتشاركوا القيم المشتركة وأن يشاركوا في الحياة المدنية.")</f>
        <v>ينبغي على المهاجرين أن يتشاركوا القيم المشتركة وأن يشاركوا في الحياة المدنية.</v>
      </c>
      <c r="I163" s="5" t="str">
        <f>IFERROR(__xludf.DUMMYFUNCTION("GOOGLETRANSLATE(A163,""en"",""fa"")"),"مهاجران باید ارزش‌های مشترکی داشته باشند و در زندگی مدنی مشارکت کنند.")</f>
        <v>مهاجران باید ارزش‌های مشترکی داشته باشند و در زندگی مدنی مشارکت کنند.</v>
      </c>
      <c r="J163" s="5" t="str">
        <f>IFERROR(__xludf.DUMMYFUNCTION("GOOGLETRANSLATE(A163,""en"",""am"")"),"ስደተኞች የጋራ እሴቶችን መጋራት እና በሲቪክ ህይወት ውስጥ መሳተፍ አለባቸው።")</f>
        <v>ስደተኞች የጋራ እሴቶችን መጋራት እና በሲቪክ ህይወት ውስጥ መሳተፍ አለባቸው።</v>
      </c>
      <c r="K163" s="5" t="str">
        <f>IFERROR(__xludf.DUMMYFUNCTION("GOOGLETRANSLATE(A163,""en"",""es"")"),"Los inmigrantes deben compartir valores comunes y participar en la vida cívica.")</f>
        <v>Los inmigrantes deben compartir valores comunes y participar en la vida cívica.</v>
      </c>
      <c r="L163" s="5" t="str">
        <f>IFERROR(__xludf.DUMMYFUNCTION("GOOGLETRANSLATE(A163,""en"",""es-419"")"),"Los inmigrantes deben compartir valores comunes y participar en la vida cívica.")</f>
        <v>Los inmigrantes deben compartir valores comunes y participar en la vida cívica.</v>
      </c>
    </row>
    <row r="164">
      <c r="A164" s="4" t="s">
        <v>186</v>
      </c>
      <c r="B164" s="4" t="s">
        <v>174</v>
      </c>
      <c r="C164" s="4" t="s">
        <v>26</v>
      </c>
      <c r="D164" s="5" t="str">
        <f>IFERROR(__xludf.DUMMYFUNCTION("GOOGLETRANSLATE(A164,""en"",""hi"")"),"अर्थव्यवस्था पर आप्रवासन के प्रभाव का सावधानीपूर्वक अध्ययन करने की आवश्यकता है।")</f>
        <v>अर्थव्यवस्था पर आप्रवासन के प्रभाव का सावधानीपूर्वक अध्ययन करने की आवश्यकता है।</v>
      </c>
      <c r="E164" s="5" t="str">
        <f>IFERROR(__xludf.DUMMYFUNCTION("GOOGLETRANSLATE(A164,""en"",""zh-CN"")"),"移民对经济的影响需要仔细研究。")</f>
        <v>移民对经济的影响需要仔细研究。</v>
      </c>
      <c r="F164" s="5" t="str">
        <f>IFERROR(__xludf.DUMMYFUNCTION("GOOGLETRANSLATE(A164,""en"",""fr"")"),"L'impact de l'immigration sur l'économie nécessite une étude approfondie.")</f>
        <v>L'impact de l'immigration sur l'économie nécessite une étude approfondie.</v>
      </c>
      <c r="G164" s="5" t="str">
        <f>IFERROR(__xludf.DUMMYFUNCTION("GOOGLETRANSLATE(A164,""en"",""ru"")"),"Влияние иммиграции на экономику требует тщательного изучения.")</f>
        <v>Влияние иммиграции на экономику требует тщательного изучения.</v>
      </c>
      <c r="H164" s="5" t="str">
        <f>IFERROR(__xludf.DUMMYFUNCTION("GOOGLETRANSLATE(A164,""en"",""ar"")"),"إن تأثير الهجرة على الاقتصاد يحتاج إلى دراسة متأنية.")</f>
        <v>إن تأثير الهجرة على الاقتصاد يحتاج إلى دراسة متأنية.</v>
      </c>
      <c r="I164" s="5" t="str">
        <f>IFERROR(__xludf.DUMMYFUNCTION("GOOGLETRANSLATE(A164,""en"",""fa"")"),"تأثیر مهاجرت بر اقتصاد نیاز به مطالعه دقیق دارد.")</f>
        <v>تأثیر مهاجرت بر اقتصاد نیاز به مطالعه دقیق دارد.</v>
      </c>
      <c r="J164" s="5" t="str">
        <f>IFERROR(__xludf.DUMMYFUNCTION("GOOGLETRANSLATE(A164,""en"",""am"")"),"የኢሚግሬሽን በኢኮኖሚው ላይ የሚያሳድረው ተጽዕኖ በጥንቃቄ ማጥናት ያስፈልገዋል።")</f>
        <v>የኢሚግሬሽን በኢኮኖሚው ላይ የሚያሳድረው ተጽዕኖ በጥንቃቄ ማጥናት ያስፈልገዋል።</v>
      </c>
      <c r="K164" s="5" t="str">
        <f>IFERROR(__xludf.DUMMYFUNCTION("GOOGLETRANSLATE(A164,""en"",""es"")"),"Es necesario estudiar detenidamente el impacto de la inmigración en la economía.")</f>
        <v>Es necesario estudiar detenidamente el impacto de la inmigración en la economía.</v>
      </c>
      <c r="L164" s="5" t="str">
        <f>IFERROR(__xludf.DUMMYFUNCTION("GOOGLETRANSLATE(A164,""en"",""es-419"")"),"Es necesario estudiar detenidamente el impacto de la inmigración en la economía.")</f>
        <v>Es necesario estudiar detenidamente el impacto de la inmigración en la economía.</v>
      </c>
    </row>
    <row r="165">
      <c r="A165" s="4" t="s">
        <v>187</v>
      </c>
      <c r="B165" s="4" t="s">
        <v>174</v>
      </c>
      <c r="C165" s="4" t="s">
        <v>26</v>
      </c>
      <c r="D165" s="5" t="str">
        <f>IFERROR(__xludf.DUMMYFUNCTION("GOOGLETRANSLATE(A165,""en"",""hi"")"),"आव्रजन नीतियों को श्रम आवश्यकताओं को पूरा करना चाहिए और आप्रवासियों को समाज में एकीकृत होने में मदद करनी चाहिए।")</f>
        <v>आव्रजन नीतियों को श्रम आवश्यकताओं को पूरा करना चाहिए और आप्रवासियों को समाज में एकीकृत होने में मदद करनी चाहिए।</v>
      </c>
      <c r="E165" s="5" t="str">
        <f>IFERROR(__xludf.DUMMYFUNCTION("GOOGLETRANSLATE(A165,""en"",""zh-CN"")"),"移民政策必须满足劳动力需求，并帮助移民融入社会。")</f>
        <v>移民政策必须满足劳动力需求，并帮助移民融入社会。</v>
      </c>
      <c r="F165" s="5" t="str">
        <f>IFERROR(__xludf.DUMMYFUNCTION("GOOGLETRANSLATE(A165,""en"",""fr"")"),"Les politiques d'immigration doivent répondre aux besoins en main-d'œuvre et faciliter l'intégration des immigrants.")</f>
        <v>Les politiques d'immigration doivent répondre aux besoins en main-d'œuvre et faciliter l'intégration des immigrants.</v>
      </c>
      <c r="G165" s="5" t="str">
        <f>IFERROR(__xludf.DUMMYFUNCTION("GOOGLETRANSLATE(A165,""en"",""ru"")"),"Иммиграционная политика должна отвечать потребностям рынка труда и способствовать интеграции иммигрантов.")</f>
        <v>Иммиграционная политика должна отвечать потребностям рынка труда и способствовать интеграции иммигрантов.</v>
      </c>
      <c r="H165" s="5" t="str">
        <f>IFERROR(__xludf.DUMMYFUNCTION("GOOGLETRANSLATE(A165,""en"",""ar"")"),"يجب أن تلبي سياسات الهجرة احتياجات سوق العمل وأن تساعد المهاجرين على الاندماج.")</f>
        <v>يجب أن تلبي سياسات الهجرة احتياجات سوق العمل وأن تساعد المهاجرين على الاندماج.</v>
      </c>
      <c r="I165" s="5" t="str">
        <f>IFERROR(__xludf.DUMMYFUNCTION("GOOGLETRANSLATE(A165,""en"",""fa"")"),"سیاست‌های مهاجرتی باید نیازهای نیروی کار را برآورده کرده و به ادغام مهاجران کمک کند.")</f>
        <v>سیاست‌های مهاجرتی باید نیازهای نیروی کار را برآورده کرده و به ادغام مهاجران کمک کند.</v>
      </c>
      <c r="J165" s="5" t="str">
        <f>IFERROR(__xludf.DUMMYFUNCTION("GOOGLETRANSLATE(A165,""en"",""am"")"),"የኢሚግሬሽን ፖሊሲዎች የሰራተኛ ፍላጎቶችን ማሟላት እና ስደተኞችን ማዋሃድ መቻል አለባቸው።")</f>
        <v>የኢሚግሬሽን ፖሊሲዎች የሰራተኛ ፍላጎቶችን ማሟላት እና ስደተኞችን ማዋሃድ መቻል አለባቸው።</v>
      </c>
      <c r="K165" s="5" t="str">
        <f>IFERROR(__xludf.DUMMYFUNCTION("GOOGLETRANSLATE(A165,""en"",""es"")"),"Las políticas de inmigración deben satisfacer las necesidades laborales y ayudar a los inmigrantes a integrarse.")</f>
        <v>Las políticas de inmigración deben satisfacer las necesidades laborales y ayudar a los inmigrantes a integrarse.</v>
      </c>
      <c r="L165" s="5" t="str">
        <f>IFERROR(__xludf.DUMMYFUNCTION("GOOGLETRANSLATE(A165,""en"",""es-419"")"),"Las políticas de inmigración deben satisfacer las necesidades laborales y ayudar a los inmigrantes a integrarse.")</f>
        <v>Las políticas de inmigración deben satisfacer las necesidades laborales y ayudar a los inmigrantes a integrarse.</v>
      </c>
    </row>
    <row r="166">
      <c r="A166" s="4" t="s">
        <v>188</v>
      </c>
      <c r="B166" s="4" t="s">
        <v>174</v>
      </c>
      <c r="C166" s="4" t="s">
        <v>26</v>
      </c>
      <c r="D166" s="5" t="str">
        <f>IFERROR(__xludf.DUMMYFUNCTION("GOOGLETRANSLATE(A166,""en"",""hi"")"),"आप्रवासन के लिए वैश्विक सहयोग और प्रवासियों के साथ मानवीय व्यवहार आवश्यक है।")</f>
        <v>आप्रवासन के लिए वैश्विक सहयोग और प्रवासियों के साथ मानवीय व्यवहार आवश्यक है।</v>
      </c>
      <c r="E166" s="5" t="str">
        <f>IFERROR(__xludf.DUMMYFUNCTION("GOOGLETRANSLATE(A166,""en"",""zh-CN"")"),"移民问题需要全球合作和对移民的人道待遇。")</f>
        <v>移民问题需要全球合作和对移民的人道待遇。</v>
      </c>
      <c r="F166" s="5" t="str">
        <f>IFERROR(__xludf.DUMMYFUNCTION("GOOGLETRANSLATE(A166,""en"",""fr"")"),"L'immigration exige une coopération mondiale et un traitement humain des migrants.")</f>
        <v>L'immigration exige une coopération mondiale et un traitement humain des migrants.</v>
      </c>
      <c r="G166" s="5" t="str">
        <f>IFERROR(__xludf.DUMMYFUNCTION("GOOGLETRANSLATE(A166,""en"",""ru"")"),"Для решения иммиграционных проблем необходимы глобальное сотрудничество и гуманное обращение с мигрантами.")</f>
        <v>Для решения иммиграционных проблем необходимы глобальное сотрудничество и гуманное обращение с мигрантами.</v>
      </c>
      <c r="H166" s="5" t="str">
        <f>IFERROR(__xludf.DUMMYFUNCTION("GOOGLETRANSLATE(A166,""en"",""ar"")"),"تتطلب الهجرة تعاوناً عالمياً ومعاملة إنسانية للمهاجرين.")</f>
        <v>تتطلب الهجرة تعاوناً عالمياً ومعاملة إنسانية للمهاجرين.</v>
      </c>
      <c r="I166" s="5" t="str">
        <f>IFERROR(__xludf.DUMMYFUNCTION("GOOGLETRANSLATE(A166,""en"",""fa"")"),"مهاجرت نیازمند همکاری جهانی و رفتار انسانی با مهاجران است.")</f>
        <v>مهاجرت نیازمند همکاری جهانی و رفتار انسانی با مهاجران است.</v>
      </c>
      <c r="J166" s="5" t="str">
        <f>IFERROR(__xludf.DUMMYFUNCTION("GOOGLETRANSLATE(A166,""en"",""am"")"),"ስደት ዓለም አቀፍ ትብብር እና የስደተኞችን ሰብአዊ አያያዝ ይጠይቃል።")</f>
        <v>ስደት ዓለም አቀፍ ትብብር እና የስደተኞችን ሰብአዊ አያያዝ ይጠይቃል።</v>
      </c>
      <c r="K166" s="5" t="str">
        <f>IFERROR(__xludf.DUMMYFUNCTION("GOOGLETRANSLATE(A166,""en"",""es"")"),"La inmigración requiere cooperación global y un trato humano a los migrantes.")</f>
        <v>La inmigración requiere cooperación global y un trato humano a los migrantes.</v>
      </c>
      <c r="L166" s="5" t="str">
        <f>IFERROR(__xludf.DUMMYFUNCTION("GOOGLETRANSLATE(A166,""en"",""es-419"")"),"La inmigración requiere cooperación global y un trato humano a los migrantes.")</f>
        <v>La inmigración requiere cooperación global y un trato humano a los migrantes.</v>
      </c>
    </row>
    <row r="167">
      <c r="A167" s="4" t="s">
        <v>189</v>
      </c>
      <c r="B167" s="4" t="s">
        <v>174</v>
      </c>
      <c r="C167" s="4" t="s">
        <v>32</v>
      </c>
      <c r="D167" s="5" t="str">
        <f>IFERROR(__xludf.DUMMYFUNCTION("GOOGLETRANSLATE(A167,""en"",""hi"")"),"आप्रवासन से हमारी संस्कृति और अर्थव्यवस्था में सुधार होता है।")</f>
        <v>आप्रवासन से हमारी संस्कृति और अर्थव्यवस्था में सुधार होता है।</v>
      </c>
      <c r="E167" s="5" t="str">
        <f>IFERROR(__xludf.DUMMYFUNCTION("GOOGLETRANSLATE(A167,""en"",""zh-CN"")"),"移民促进了我们的文化和经济发展。")</f>
        <v>移民促进了我们的文化和经济发展。</v>
      </c>
      <c r="F167" s="5" t="str">
        <f>IFERROR(__xludf.DUMMYFUNCTION("GOOGLETRANSLATE(A167,""en"",""fr"")"),"L'immigration enrichit notre culture et notre économie.")</f>
        <v>L'immigration enrichit notre culture et notre économie.</v>
      </c>
      <c r="G167" s="5" t="str">
        <f>IFERROR(__xludf.DUMMYFUNCTION("GOOGLETRANSLATE(A167,""en"",""ru"")"),"Иммиграция способствует развитию нашей культуры и экономики.")</f>
        <v>Иммиграция способствует развитию нашей культуры и экономики.</v>
      </c>
      <c r="H167" s="5" t="str">
        <f>IFERROR(__xludf.DUMMYFUNCTION("GOOGLETRANSLATE(A167,""en"",""ar"")"),"تساهم الهجرة في تحسين ثقافتنا واقتصادنا.")</f>
        <v>تساهم الهجرة في تحسين ثقافتنا واقتصادنا.</v>
      </c>
      <c r="I167" s="5" t="str">
        <f>IFERROR(__xludf.DUMMYFUNCTION("GOOGLETRANSLATE(A167,""en"",""fa"")"),"مهاجرت فرهنگ و اقتصاد ما را بهبود می‌بخشد.")</f>
        <v>مهاجرت فرهنگ و اقتصاد ما را بهبود می‌بخشد.</v>
      </c>
      <c r="J167" s="5" t="str">
        <f>IFERROR(__xludf.DUMMYFUNCTION("GOOGLETRANSLATE(A167,""en"",""am"")"),"ስደት ባህላችንንና ኢኮኖሚያችንን ያሻሽላል።")</f>
        <v>ስደት ባህላችንንና ኢኮኖሚያችንን ያሻሽላል።</v>
      </c>
      <c r="K167" s="5" t="str">
        <f>IFERROR(__xludf.DUMMYFUNCTION("GOOGLETRANSLATE(A167,""en"",""es"")"),"La inmigración mejora nuestra cultura y nuestra economía.")</f>
        <v>La inmigración mejora nuestra cultura y nuestra economía.</v>
      </c>
      <c r="L167" s="5" t="str">
        <f>IFERROR(__xludf.DUMMYFUNCTION("GOOGLETRANSLATE(A167,""en"",""es-419"")"),"La inmigración mejora nuestra cultura y nuestra economía.")</f>
        <v>La inmigración mejora nuestra cultura y nuestra economía.</v>
      </c>
    </row>
    <row r="168">
      <c r="A168" s="4" t="s">
        <v>190</v>
      </c>
      <c r="B168" s="4" t="s">
        <v>174</v>
      </c>
      <c r="C168" s="4" t="s">
        <v>32</v>
      </c>
      <c r="D168" s="5" t="str">
        <f>IFERROR(__xludf.DUMMYFUNCTION("GOOGLETRANSLATE(A168,""en"",""hi"")"),"अप्रवासियों को सामाजिक सेवाओं तक पूर्ण पहुंच का अधिकार है।")</f>
        <v>अप्रवासियों को सामाजिक सेवाओं तक पूर्ण पहुंच का अधिकार है।</v>
      </c>
      <c r="E168" s="5" t="str">
        <f>IFERROR(__xludf.DUMMYFUNCTION("GOOGLETRANSLATE(A168,""en"",""zh-CN"")"),"移民理应享有全面的社会服务。")</f>
        <v>移民理应享有全面的社会服务。</v>
      </c>
      <c r="F168" s="5" t="str">
        <f>IFERROR(__xludf.DUMMYFUNCTION("GOOGLETRANSLATE(A168,""en"",""fr"")"),"Les immigrants méritent un accès complet aux services sociaux.")</f>
        <v>Les immigrants méritent un accès complet aux services sociaux.</v>
      </c>
      <c r="G168" s="5" t="str">
        <f>IFERROR(__xludf.DUMMYFUNCTION("GOOGLETRANSLATE(A168,""en"",""ru"")"),"Иммигранты заслуживают полного доступа к социальным услугам.")</f>
        <v>Иммигранты заслуживают полного доступа к социальным услугам.</v>
      </c>
      <c r="H168" s="5" t="str">
        <f>IFERROR(__xludf.DUMMYFUNCTION("GOOGLETRANSLATE(A168,""en"",""ar"")"),"يستحق المهاجرون الحصول على الخدمات الاجتماعية بشكل كامل.")</f>
        <v>يستحق المهاجرون الحصول على الخدمات الاجتماعية بشكل كامل.</v>
      </c>
      <c r="I168" s="5" t="str">
        <f>IFERROR(__xludf.DUMMYFUNCTION("GOOGLETRANSLATE(A168,""en"",""fa"")"),"مهاجران حق دسترسی کامل به خدمات اجتماعی را دارند.")</f>
        <v>مهاجران حق دسترسی کامل به خدمات اجتماعی را دارند.</v>
      </c>
      <c r="J168" s="5" t="str">
        <f>IFERROR(__xludf.DUMMYFUNCTION("GOOGLETRANSLATE(A168,""en"",""am"")"),"ስደተኞች ሙሉ የማህበራዊ አገልግሎቶችን ማግኘት ይገባቸዋል።")</f>
        <v>ስደተኞች ሙሉ የማህበራዊ አገልግሎቶችን ማግኘት ይገባቸዋል።</v>
      </c>
      <c r="K168" s="5" t="str">
        <f>IFERROR(__xludf.DUMMYFUNCTION("GOOGLETRANSLATE(A168,""en"",""es"")"),"Los inmigrantes merecen pleno acceso a los servicios sociales.")</f>
        <v>Los inmigrantes merecen pleno acceso a los servicios sociales.</v>
      </c>
      <c r="L168" s="5" t="str">
        <f>IFERROR(__xludf.DUMMYFUNCTION("GOOGLETRANSLATE(A168,""en"",""es-419"")"),"Los inmigrantes merecen pleno acceso a los servicios sociales.")</f>
        <v>Los inmigrantes merecen pleno acceso a los servicios sociales.</v>
      </c>
    </row>
    <row r="169">
      <c r="A169" s="4" t="s">
        <v>191</v>
      </c>
      <c r="B169" s="4" t="s">
        <v>174</v>
      </c>
      <c r="C169" s="4" t="s">
        <v>32</v>
      </c>
      <c r="D169" s="5" t="str">
        <f>IFERROR(__xludf.DUMMYFUNCTION("GOOGLETRANSLATE(A169,""en"",""hi"")"),"जनगणना के आवंटन में सभी लोगों की गिनती होनी चाहिए।")</f>
        <v>जनगणना के आवंटन में सभी लोगों की गिनती होनी चाहिए।</v>
      </c>
      <c r="E169" s="5" t="str">
        <f>IFERROR(__xludf.DUMMYFUNCTION("GOOGLETRANSLATE(A169,""en"",""zh-CN"")"),"人口普查分配时，所有人都应该被统计在内。")</f>
        <v>人口普查分配时，所有人都应该被统计在内。</v>
      </c>
      <c r="F169" s="5" t="str">
        <f>IFERROR(__xludf.DUMMYFUNCTION("GOOGLETRANSLATE(A169,""en"",""fr"")"),"Toute personne devrait être comptabilisée dans le recensement.")</f>
        <v>Toute personne devrait être comptabilisée dans le recensement.</v>
      </c>
      <c r="G169" s="5" t="str">
        <f>IFERROR(__xludf.DUMMYFUNCTION("GOOGLETRANSLATE(A169,""en"",""ru"")"),"При распределении мест в Конгрессе все люди должны быть учтены в ходе переписи населения.")</f>
        <v>При распределении мест в Конгрессе все люди должны быть учтены в ходе переписи населения.</v>
      </c>
      <c r="H169" s="5" t="str">
        <f>IFERROR(__xludf.DUMMYFUNCTION("GOOGLETRANSLATE(A169,""en"",""ar"")"),"ينبغي إحصاء جميع الأشخاص في عملية توزيع المقاعد في التعداد السكاني.")</f>
        <v>ينبغي إحصاء جميع الأشخاص في عملية توزيع المقاعد في التعداد السكاني.</v>
      </c>
      <c r="I169" s="5" t="str">
        <f>IFERROR(__xludf.DUMMYFUNCTION("GOOGLETRANSLATE(A169,""en"",""fa"")"),"همه افراد باید در سرشماری‌های جمعیتی شمارش شوند.")</f>
        <v>همه افراد باید در سرشماری‌های جمعیتی شمارش شوند.</v>
      </c>
      <c r="J169" s="5" t="str">
        <f>IFERROR(__xludf.DUMMYFUNCTION("GOOGLETRANSLATE(A169,""en"",""am"")"),"ሁሉም ሰዎች በሕዝብ ቆጠራ ክፍፍል ውስጥ መቆጠር አለባቸው።")</f>
        <v>ሁሉም ሰዎች በሕዝብ ቆጠራ ክፍፍል ውስጥ መቆጠር አለባቸው።</v>
      </c>
      <c r="K169" s="5" t="str">
        <f>IFERROR(__xludf.DUMMYFUNCTION("GOOGLETRANSLATE(A169,""en"",""es"")"),"Todas las personas deben ser incluidas en el censo para la asignación de escaños.")</f>
        <v>Todas las personas deben ser incluidas en el censo para la asignación de escaños.</v>
      </c>
      <c r="L169" s="5" t="str">
        <f>IFERROR(__xludf.DUMMYFUNCTION("GOOGLETRANSLATE(A169,""en"",""es-419"")"),"Todas las personas deben ser incluidas en el censo para la asignación de escaños.")</f>
        <v>Todas las personas deben ser incluidas en el censo para la asignación de escaños.</v>
      </c>
    </row>
    <row r="170">
      <c r="A170" s="4" t="s">
        <v>192</v>
      </c>
      <c r="B170" s="4" t="s">
        <v>174</v>
      </c>
      <c r="C170" s="4" t="s">
        <v>32</v>
      </c>
      <c r="D170" s="5" t="str">
        <f>IFERROR(__xludf.DUMMYFUNCTION("GOOGLETRANSLATE(A170,""en"",""hi"")"),"धनी देशों को जलवायु शरणार्थियों को स्वीकार करना चाहिए।")</f>
        <v>धनी देशों को जलवायु शरणार्थियों को स्वीकार करना चाहिए।</v>
      </c>
      <c r="E170" s="5" t="str">
        <f>IFERROR(__xludf.DUMMYFUNCTION("GOOGLETRANSLATE(A170,""en"",""zh-CN"")"),"富裕国家应该接收气候难民。")</f>
        <v>富裕国家应该接收气候难民。</v>
      </c>
      <c r="F170" s="5" t="str">
        <f>IFERROR(__xludf.DUMMYFUNCTION("GOOGLETRANSLATE(A170,""en"",""fr"")"),"Les pays riches devraient accueillir des réfugiés climatiques.")</f>
        <v>Les pays riches devraient accueillir des réfugiés climatiques.</v>
      </c>
      <c r="G170" s="5" t="str">
        <f>IFERROR(__xludf.DUMMYFUNCTION("GOOGLETRANSLATE(A170,""en"",""ru"")"),"Богатые страны должны принимать климатических беженцев.")</f>
        <v>Богатые страны должны принимать климатических беженцев.</v>
      </c>
      <c r="H170" s="5" t="str">
        <f>IFERROR(__xludf.DUMMYFUNCTION("GOOGLETRANSLATE(A170,""en"",""ar"")"),"ينبغي على الدول الغنية أن تستقبل اللاجئين المناخيين.")</f>
        <v>ينبغي على الدول الغنية أن تستقبل اللاجئين المناخيين.</v>
      </c>
      <c r="I170" s="5" t="str">
        <f>IFERROR(__xludf.DUMMYFUNCTION("GOOGLETRANSLATE(A170,""en"",""fa"")"),"کشورهای ثروتمند باید پناهندگان اقلیمی را بپذیرند.")</f>
        <v>کشورهای ثروتمند باید پناهندگان اقلیمی را بپذیرند.</v>
      </c>
      <c r="J170" s="5" t="str">
        <f>IFERROR(__xludf.DUMMYFUNCTION("GOOGLETRANSLATE(A170,""en"",""am"")"),"ሀብታም አገሮች የአየር ንብረት ለውጥ ስደተኞችን መቀበል አለባቸው።")</f>
        <v>ሀብታም አገሮች የአየር ንብረት ለውጥ ስደተኞችን መቀበል አለባቸው።</v>
      </c>
      <c r="K170" s="5" t="str">
        <f>IFERROR(__xludf.DUMMYFUNCTION("GOOGLETRANSLATE(A170,""en"",""es"")"),"Los países ricos deberían acoger a los refugiados climáticos.")</f>
        <v>Los países ricos deberían acoger a los refugiados climáticos.</v>
      </c>
      <c r="L170" s="5" t="str">
        <f>IFERROR(__xludf.DUMMYFUNCTION("GOOGLETRANSLATE(A170,""en"",""es-419"")"),"Los países ricos deberían acoger a los refugiados climáticos.")</f>
        <v>Los países ricos deberían acoger a los refugiados climáticos.</v>
      </c>
    </row>
    <row r="171">
      <c r="A171" s="4" t="s">
        <v>193</v>
      </c>
      <c r="B171" s="4" t="s">
        <v>174</v>
      </c>
      <c r="C171" s="4" t="s">
        <v>32</v>
      </c>
      <c r="D171" s="5" t="str">
        <f>IFERROR(__xludf.DUMMYFUNCTION("GOOGLETRANSLATE(A171,""en"",""hi"")"),"राष्ट्रीय सीमाएं मानवीय स्वतंत्रता को सीमित करती हैं।")</f>
        <v>राष्ट्रीय सीमाएं मानवीय स्वतंत्रता को सीमित करती हैं।</v>
      </c>
      <c r="E171" s="5" t="str">
        <f>IFERROR(__xludf.DUMMYFUNCTION("GOOGLETRANSLATE(A171,""en"",""zh-CN"")"),"国界限制了人类自由。")</f>
        <v>国界限制了人类自由。</v>
      </c>
      <c r="F171" s="5" t="str">
        <f>IFERROR(__xludf.DUMMYFUNCTION("GOOGLETRANSLATE(A171,""en"",""fr"")"),"Les frontières nationales limitent la liberté humaine.")</f>
        <v>Les frontières nationales limitent la liberté humaine.</v>
      </c>
      <c r="G171" s="5" t="str">
        <f>IFERROR(__xludf.DUMMYFUNCTION("GOOGLETRANSLATE(A171,""en"",""ru"")"),"Национальные границы ограничивают свободу человека.")</f>
        <v>Национальные границы ограничивают свободу человека.</v>
      </c>
      <c r="H171" s="5" t="str">
        <f>IFERROR(__xludf.DUMMYFUNCTION("GOOGLETRANSLATE(A171,""en"",""ar"")"),"الحدود الوطنية تحد من حرية الإنسان.")</f>
        <v>الحدود الوطنية تحد من حرية الإنسان.</v>
      </c>
      <c r="I171" s="5" t="str">
        <f>IFERROR(__xludf.DUMMYFUNCTION("GOOGLETRANSLATE(A171,""en"",""fa"")"),"مرزهای ملی آزادی انسان را محدود می‌کنند.")</f>
        <v>مرزهای ملی آزادی انسان را محدود می‌کنند.</v>
      </c>
      <c r="J171" s="5" t="str">
        <f>IFERROR(__xludf.DUMMYFUNCTION("GOOGLETRANSLATE(A171,""en"",""am"")"),"ብሔራዊ ድንበሮች የሰውን ነፃነት ይገድባሉ።")</f>
        <v>ብሔራዊ ድንበሮች የሰውን ነፃነት ይገድባሉ።</v>
      </c>
      <c r="K171" s="5" t="str">
        <f>IFERROR(__xludf.DUMMYFUNCTION("GOOGLETRANSLATE(A171,""en"",""es"")"),"Las fronteras nacionales limitan la libertad humana.")</f>
        <v>Las fronteras nacionales limitan la libertad humana.</v>
      </c>
      <c r="L171" s="5" t="str">
        <f>IFERROR(__xludf.DUMMYFUNCTION("GOOGLETRANSLATE(A171,""en"",""es-419"")"),"Las fronteras nacionales limitan la libertad humana.")</f>
        <v>Las fronteras nacionales limitan la libertad humana.</v>
      </c>
    </row>
    <row r="172">
      <c r="A172" s="4" t="s">
        <v>194</v>
      </c>
      <c r="B172" s="4" t="s">
        <v>174</v>
      </c>
      <c r="C172" s="4" t="s">
        <v>38</v>
      </c>
      <c r="D172" s="5" t="str">
        <f>IFERROR(__xludf.DUMMYFUNCTION("GOOGLETRANSLATE(A172,""en"",""hi"")"),"यह तय करना नियोक्ताओं का काम है कि कौन आप्रवास करेगा, न कि सरकार का।")</f>
        <v>यह तय करना नियोक्ताओं का काम है कि कौन आप्रवास करेगा, न कि सरकार का।</v>
      </c>
      <c r="E172" s="5" t="str">
        <f>IFERROR(__xludf.DUMMYFUNCTION("GOOGLETRANSLATE(A172,""en"",""zh-CN"")"),"应该由雇主决定谁可以移民，而不是政府。")</f>
        <v>应该由雇主决定谁可以移民，而不是政府。</v>
      </c>
      <c r="F172" s="5" t="str">
        <f>IFERROR(__xludf.DUMMYFUNCTION("GOOGLETRANSLATE(A172,""en"",""fr"")"),"Ce sont les employeurs, et non le gouvernement, qui devraient décider qui immigre.")</f>
        <v>Ce sont les employeurs, et non le gouvernement, qui devraient décider qui immigre.</v>
      </c>
      <c r="G172" s="5" t="str">
        <f>IFERROR(__xludf.DUMMYFUNCTION("GOOGLETRANSLATE(A172,""en"",""ru"")"),"Решения о том, кто иммигрирует, должны принимать работодатели, а не правительство.")</f>
        <v>Решения о том, кто иммигрирует, должны принимать работодатели, а не правительство.</v>
      </c>
      <c r="H172" s="5" t="str">
        <f>IFERROR(__xludf.DUMMYFUNCTION("GOOGLETRANSLATE(A172,""en"",""ar"")"),"ينبغي لأصحاب العمل أن يقرروا من يهاجر، وليس الحكومة.")</f>
        <v>ينبغي لأصحاب العمل أن يقرروا من يهاجر، وليس الحكومة.</v>
      </c>
      <c r="I172" s="5" t="str">
        <f>IFERROR(__xludf.DUMMYFUNCTION("GOOGLETRANSLATE(A172,""en"",""fa"")"),"کارفرمایان باید تصمیم بگیرند که چه کسی مهاجرت کند، نه دولت.")</f>
        <v>کارفرمایان باید تصمیم بگیرند که چه کسی مهاجرت کند، نه دولت.</v>
      </c>
      <c r="J172" s="5" t="str">
        <f>IFERROR(__xludf.DUMMYFUNCTION("GOOGLETRANSLATE(A172,""en"",""am"")"),"አሠሪዎች ማን እንደሚሰደድ መወሰን አለባቸው፣ መንግሥትን ሳይሆን።")</f>
        <v>አሠሪዎች ማን እንደሚሰደድ መወሰን አለባቸው፣ መንግሥትን ሳይሆን።</v>
      </c>
      <c r="K172" s="5" t="str">
        <f>IFERROR(__xludf.DUMMYFUNCTION("GOOGLETRANSLATE(A172,""en"",""es"")"),"Los empleadores deberían decidir quién inmigra, no el gobierno.")</f>
        <v>Los empleadores deberían decidir quién inmigra, no el gobierno.</v>
      </c>
      <c r="L172" s="5" t="str">
        <f>IFERROR(__xludf.DUMMYFUNCTION("GOOGLETRANSLATE(A172,""en"",""es-419"")"),"Los empleadores deberían decidir quién inmigra, no el gobierno.")</f>
        <v>Los empleadores deberían decidir quién inmigra, no el gobierno.</v>
      </c>
    </row>
    <row r="173">
      <c r="A173" s="4" t="s">
        <v>195</v>
      </c>
      <c r="B173" s="4" t="s">
        <v>174</v>
      </c>
      <c r="C173" s="4" t="s">
        <v>38</v>
      </c>
      <c r="D173" s="5" t="str">
        <f>IFERROR(__xludf.DUMMYFUNCTION("GOOGLETRANSLATE(A173,""en"",""hi"")"),"सीमाओं से लोगों और वस्तुओं की सुगम आवाजाही होनी चाहिए।")</f>
        <v>सीमाओं से लोगों और वस्तुओं की सुगम आवाजाही होनी चाहिए।</v>
      </c>
      <c r="E173" s="5" t="str">
        <f>IFERROR(__xludf.DUMMYFUNCTION("GOOGLETRANSLATE(A173,""en"",""zh-CN"")"),"边境应该允许人员和货物的自由流动。")</f>
        <v>边境应该允许人员和货物的自由流动。</v>
      </c>
      <c r="F173" s="5" t="str">
        <f>IFERROR(__xludf.DUMMYFUNCTION("GOOGLETRANSLATE(A173,""en"",""fr"")"),"Les frontières doivent permettre la libre circulation des personnes et des marchandises.")</f>
        <v>Les frontières doivent permettre la libre circulation des personnes et des marchandises.</v>
      </c>
      <c r="G173" s="5" t="str">
        <f>IFERROR(__xludf.DUMMYFUNCTION("GOOGLETRANSLATE(A173,""en"",""ru"")"),"Границы должны обеспечивать беспрепятственное перемещение людей и товаров.")</f>
        <v>Границы должны обеспечивать беспрепятственное перемещение людей и товаров.</v>
      </c>
      <c r="H173" s="5" t="str">
        <f>IFERROR(__xludf.DUMMYFUNCTION("GOOGLETRANSLATE(A173,""en"",""ar"")"),"ينبغي أن تسمح الحدود بسهولة حركة الأشخاص والبضائع.")</f>
        <v>ينبغي أن تسمح الحدود بسهولة حركة الأشخاص والبضائع.</v>
      </c>
      <c r="I173" s="5" t="str">
        <f>IFERROR(__xludf.DUMMYFUNCTION("GOOGLETRANSLATE(A173,""en"",""fa"")"),"مرزها باید امکان جابجایی آسان افراد و کالاها را فراهم کنند.")</f>
        <v>مرزها باید امکان جابجایی آسان افراد و کالاها را فراهم کنند.</v>
      </c>
      <c r="J173" s="5" t="str">
        <f>IFERROR(__xludf.DUMMYFUNCTION("GOOGLETRANSLATE(A173,""en"",""am"")"),"ድንበሮች የሰዎችና የሸቀጦች በቀላሉ እንዲዘዋወሩ መፍቀድ አለባቸው።")</f>
        <v>ድንበሮች የሰዎችና የሸቀጦች በቀላሉ እንዲዘዋወሩ መፍቀድ አለባቸው።</v>
      </c>
      <c r="K173" s="5" t="str">
        <f>IFERROR(__xludf.DUMMYFUNCTION("GOOGLETRANSLATE(A173,""en"",""es"")"),"Las fronteras deben permitir la libre circulación de personas y mercancías.")</f>
        <v>Las fronteras deben permitir la libre circulación de personas y mercancías.</v>
      </c>
      <c r="L173" s="5" t="str">
        <f>IFERROR(__xludf.DUMMYFUNCTION("GOOGLETRANSLATE(A173,""en"",""es-419"")"),"Las fronteras deben permitir la libre circulación de personas y mercancías.")</f>
        <v>Las fronteras deben permitir la libre circulación de personas y mercancías.</v>
      </c>
    </row>
    <row r="174">
      <c r="A174" s="4" t="s">
        <v>196</v>
      </c>
      <c r="B174" s="4" t="s">
        <v>174</v>
      </c>
      <c r="C174" s="4" t="s">
        <v>38</v>
      </c>
      <c r="D174" s="5" t="str">
        <f>IFERROR(__xludf.DUMMYFUNCTION("GOOGLETRANSLATE(A174,""en"",""hi"")"),"अप्रवासियों को आत्मनिर्भर होना चाहिए, न कि सार्वजनिक सहायता पर निर्भर रहना चाहिए।")</f>
        <v>अप्रवासियों को आत्मनिर्भर होना चाहिए, न कि सार्वजनिक सहायता पर निर्भर रहना चाहिए।</v>
      </c>
      <c r="E174" s="5" t="str">
        <f>IFERROR(__xludf.DUMMYFUNCTION("GOOGLETRANSLATE(A174,""en"",""zh-CN"")"),"移民应该自力更生，不应该依赖公共援助。")</f>
        <v>移民应该自力更生，不应该依赖公共援助。</v>
      </c>
      <c r="F174" s="5" t="str">
        <f>IFERROR(__xludf.DUMMYFUNCTION("GOOGLETRANSLATE(A174,""en"",""fr"")"),"Les immigrants devraient être autonomes et ne pas dépendre de l'aide publique.")</f>
        <v>Les immigrants devraient être autonomes et ne pas dépendre de l'aide publique.</v>
      </c>
      <c r="G174" s="5" t="str">
        <f>IFERROR(__xludf.DUMMYFUNCTION("GOOGLETRANSLATE(A174,""en"",""ru"")"),"Иммигранты должны быть самодостаточными и не зависеть от государственной помощи.")</f>
        <v>Иммигранты должны быть самодостаточными и не зависеть от государственной помощи.</v>
      </c>
      <c r="H174" s="5" t="str">
        <f>IFERROR(__xludf.DUMMYFUNCTION("GOOGLETRANSLATE(A174,""en"",""ar"")"),"ينبغي أن يكون المهاجرون مكتفين ذاتياً، ولا يعتمدون على المساعدات العامة.")</f>
        <v>ينبغي أن يكون المهاجرون مكتفين ذاتياً، ولا يعتمدون على المساعدات العامة.</v>
      </c>
      <c r="I174" s="5" t="str">
        <f>IFERROR(__xludf.DUMMYFUNCTION("GOOGLETRANSLATE(A174,""en"",""fa"")"),"مهاجران باید خودکفا باشند، نه اینکه به کمک‌های عمومی متکی باشند.")</f>
        <v>مهاجران باید خودکفا باشند، نه اینکه به کمک‌های عمومی متکی باشند.</v>
      </c>
      <c r="J174" s="5" t="str">
        <f>IFERROR(__xludf.DUMMYFUNCTION("GOOGLETRANSLATE(A174,""en"",""am"")"),"ስደተኞች ራሳቸውን ችለው መኖር አለባቸው፣ በሕዝብ እርዳታ ላይ መተማመን የለባቸውም።")</f>
        <v>ስደተኞች ራሳቸውን ችለው መኖር አለባቸው፣ በሕዝብ እርዳታ ላይ መተማመን የለባቸውም።</v>
      </c>
      <c r="K174" s="5" t="str">
        <f>IFERROR(__xludf.DUMMYFUNCTION("GOOGLETRANSLATE(A174,""en"",""es"")"),"Los inmigrantes deben ser autosuficientes, no depender de la ayuda pública.")</f>
        <v>Los inmigrantes deben ser autosuficientes, no depender de la ayuda pública.</v>
      </c>
      <c r="L174" s="5" t="str">
        <f>IFERROR(__xludf.DUMMYFUNCTION("GOOGLETRANSLATE(A174,""en"",""es-419"")"),"Los inmigrantes deben ser autosuficientes, no depender de la ayuda pública.")</f>
        <v>Los inmigrantes deben ser autosuficientes, no depender de la ayuda pública.</v>
      </c>
    </row>
    <row r="175">
      <c r="A175" s="4" t="s">
        <v>197</v>
      </c>
      <c r="B175" s="4" t="s">
        <v>174</v>
      </c>
      <c r="C175" s="4" t="s">
        <v>38</v>
      </c>
      <c r="D175" s="5" t="str">
        <f>IFERROR(__xludf.DUMMYFUNCTION("GOOGLETRANSLATE(A175,""en"",""hi"")"),"खुली सीमाएं स्वतंत्रता और समृद्धि को अधिकतम करती हैं।")</f>
        <v>खुली सीमाएं स्वतंत्रता और समृद्धि को अधिकतम करती हैं।</v>
      </c>
      <c r="E175" s="5" t="str">
        <f>IFERROR(__xludf.DUMMYFUNCTION("GOOGLETRANSLATE(A175,""en"",""zh-CN"")"),"开放的边界能够最大限度地促进自由和繁荣。")</f>
        <v>开放的边界能够最大限度地促进自由和繁荣。</v>
      </c>
      <c r="F175" s="5" t="str">
        <f>IFERROR(__xludf.DUMMYFUNCTION("GOOGLETRANSLATE(A175,""en"",""fr"")"),"L'ouverture des frontières maximise la liberté et la prospérité.")</f>
        <v>L'ouverture des frontières maximise la liberté et la prospérité.</v>
      </c>
      <c r="G175" s="5" t="str">
        <f>IFERROR(__xludf.DUMMYFUNCTION("GOOGLETRANSLATE(A175,""en"",""ru"")"),"Открытые границы максимально увеличивают свободу и процветание.")</f>
        <v>Открытые границы максимально увеличивают свободу и процветание.</v>
      </c>
      <c r="H175" s="5" t="str">
        <f>IFERROR(__xludf.DUMMYFUNCTION("GOOGLETRANSLATE(A175,""en"",""ar"")"),"الحدود المفتوحة تزيد من الحرية والازدهار.")</f>
        <v>الحدود المفتوحة تزيد من الحرية والازدهار.</v>
      </c>
      <c r="I175" s="5" t="str">
        <f>IFERROR(__xludf.DUMMYFUNCTION("GOOGLETRANSLATE(A175,""en"",""fa"")"),"مرزهای باز، آزادی و رفاه را به حداکثر می‌رسانند.")</f>
        <v>مرزهای باز، آزادی و رفاه را به حداکثر می‌رسانند.</v>
      </c>
      <c r="J175" s="5" t="str">
        <f>IFERROR(__xludf.DUMMYFUNCTION("GOOGLETRANSLATE(A175,""en"",""am"")"),"ክፍት ድንበሮች ነፃነትንና ብልጽግናን ከፍ ያደርጋሉ።")</f>
        <v>ክፍት ድንበሮች ነፃነትንና ብልጽግናን ከፍ ያደርጋሉ።</v>
      </c>
      <c r="K175" s="5" t="str">
        <f>IFERROR(__xludf.DUMMYFUNCTION("GOOGLETRANSLATE(A175,""en"",""es"")"),"Las fronteras abiertas maximizan la libertad y la prosperidad.")</f>
        <v>Las fronteras abiertas maximizan la libertad y la prosperidad.</v>
      </c>
      <c r="L175" s="5" t="str">
        <f>IFERROR(__xludf.DUMMYFUNCTION("GOOGLETRANSLATE(A175,""en"",""es-419"")"),"Las fronteras abiertas maximizan la libertad y la prosperidad.")</f>
        <v>Las fronteras abiertas maximizan la libertad y la prosperidad.</v>
      </c>
    </row>
    <row r="176">
      <c r="A176" s="4" t="s">
        <v>198</v>
      </c>
      <c r="B176" s="4" t="s">
        <v>174</v>
      </c>
      <c r="C176" s="4" t="s">
        <v>38</v>
      </c>
      <c r="D176" s="5" t="str">
        <f>IFERROR(__xludf.DUMMYFUNCTION("GOOGLETRANSLATE(A176,""en"",""hi"")"),"कुशल कामगारों के लिए आव्रजन प्रक्रिया को आसान बनाया जाना चाहिए।")</f>
        <v>कुशल कामगारों के लिए आव्रजन प्रक्रिया को आसान बनाया जाना चाहिए।</v>
      </c>
      <c r="E176" s="5" t="str">
        <f>IFERROR(__xludf.DUMMYFUNCTION("GOOGLETRANSLATE(A176,""en"",""zh-CN"")"),"对于技术工人来说，移民程序应该更简便。")</f>
        <v>对于技术工人来说，移民程序应该更简便。</v>
      </c>
      <c r="F176" s="5" t="str">
        <f>IFERROR(__xludf.DUMMYFUNCTION("GOOGLETRANSLATE(A176,""en"",""fr"")"),"Les procédures d'immigration devraient être simplifiées pour les travailleurs qualifiés.")</f>
        <v>Les procédures d'immigration devraient être simplifiées pour les travailleurs qualifiés.</v>
      </c>
      <c r="G176" s="5" t="str">
        <f>IFERROR(__xludf.DUMMYFUNCTION("GOOGLETRANSLATE(A176,""en"",""ru"")"),"Процессы иммиграции должны быть упрощены для квалифицированных специалистов.")</f>
        <v>Процессы иммиграции должны быть упрощены для квалифицированных специалистов.</v>
      </c>
      <c r="H176" s="5" t="str">
        <f>IFERROR(__xludf.DUMMYFUNCTION("GOOGLETRANSLATE(A176,""en"",""ar"")"),"ينبغي تسهيل إجراءات الهجرة للعمال المهرة.")</f>
        <v>ينبغي تسهيل إجراءات الهجرة للعمال المهرة.</v>
      </c>
      <c r="I176" s="5" t="str">
        <f>IFERROR(__xludf.DUMMYFUNCTION("GOOGLETRANSLATE(A176,""en"",""fa"")"),"فرآیندهای مهاجرت برای کارگران ماهر باید آسان‌تر شود.")</f>
        <v>فرآیندهای مهاجرت برای کارگران ماهر باید آسان‌تر شود.</v>
      </c>
      <c r="J176" s="5" t="str">
        <f>IFERROR(__xludf.DUMMYFUNCTION("GOOGLETRANSLATE(A176,""en"",""am"")"),"የኢሚግሬሽን ሂደቶች ለሰለጠኑ ሰራተኞች ቀላል መሆን አለባቸው።")</f>
        <v>የኢሚግሬሽን ሂደቶች ለሰለጠኑ ሰራተኞች ቀላል መሆን አለባቸው።</v>
      </c>
      <c r="K176" s="5" t="str">
        <f>IFERROR(__xludf.DUMMYFUNCTION("GOOGLETRANSLATE(A176,""en"",""es"")"),"Los trámites de inmigración deberían ser más sencillos para los trabajadores cualificados.")</f>
        <v>Los trámites de inmigración deberían ser más sencillos para los trabajadores cualificados.</v>
      </c>
      <c r="L176" s="5" t="str">
        <f>IFERROR(__xludf.DUMMYFUNCTION("GOOGLETRANSLATE(A176,""en"",""es-419"")"),"Los trámites de inmigración deberían ser más sencillos para los trabajadores cualificados.")</f>
        <v>Los trámites de inmigración deberían ser más sencillos para los trabajadores cualificados.</v>
      </c>
    </row>
    <row r="177">
      <c r="A177" s="4" t="s">
        <v>199</v>
      </c>
      <c r="B177" s="4" t="s">
        <v>200</v>
      </c>
      <c r="C177" s="4" t="s">
        <v>14</v>
      </c>
      <c r="D177" s="5" t="str">
        <f>IFERROR(__xludf.DUMMYFUNCTION("GOOGLETRANSLATE(A177,""en"",""hi"")"),"ऐतिहासिक अन्याय के लिए मुआवजा देना आवश्यक है।")</f>
        <v>ऐतिहासिक अन्याय के लिए मुआवजा देना आवश्यक है।</v>
      </c>
      <c r="E177" s="5" t="str">
        <f>IFERROR(__xludf.DUMMYFUNCTION("GOOGLETRANSLATE(A177,""en"",""zh-CN"")"),"历史不公需要得到赔偿。")</f>
        <v>历史不公需要得到赔偿。</v>
      </c>
      <c r="F177" s="5" t="str">
        <f>IFERROR(__xludf.DUMMYFUNCTION("GOOGLETRANSLATE(A177,""en"",""fr"")"),"Des réparations sont dues pour les injustices historiques.")</f>
        <v>Des réparations sont dues pour les injustices historiques.</v>
      </c>
      <c r="G177" s="5" t="str">
        <f>IFERROR(__xludf.DUMMYFUNCTION("GOOGLETRANSLATE(A177,""en"",""ru"")"),"Историческая несправедливость влечет за собой выплату компенсаций.")</f>
        <v>Историческая несправедливость влечет за собой выплату компенсаций.</v>
      </c>
      <c r="H177" s="5" t="str">
        <f>IFERROR(__xludf.DUMMYFUNCTION("GOOGLETRANSLATE(A177,""en"",""ar"")"),"هناك حاجة إلى تعويضات عن المظالم التاريخية.")</f>
        <v>هناك حاجة إلى تعويضات عن المظالم التاريخية.</v>
      </c>
      <c r="I177" s="5" t="str">
        <f>IFERROR(__xludf.DUMMYFUNCTION("GOOGLETRANSLATE(A177,""en"",""fa"")"),"جبران بی‌عدالتی‌های تاریخی واجب است.")</f>
        <v>جبران بی‌عدالتی‌های تاریخی واجب است.</v>
      </c>
      <c r="J177" s="5" t="str">
        <f>IFERROR(__xludf.DUMMYFUNCTION("GOOGLETRANSLATE(A177,""en"",""am"")"),"ለታሪካዊ ኢፍትሃዊ ድርጊቶች ካሳ ያስፈልጋል።")</f>
        <v>ለታሪካዊ ኢፍትሃዊ ድርጊቶች ካሳ ያስፈልጋል።</v>
      </c>
      <c r="K177" s="5" t="str">
        <f>IFERROR(__xludf.DUMMYFUNCTION("GOOGLETRANSLATE(A177,""en"",""es"")"),"Es necesario reparar las injusticias históricas.")</f>
        <v>Es necesario reparar las injusticias históricas.</v>
      </c>
      <c r="L177" s="5" t="str">
        <f>IFERROR(__xludf.DUMMYFUNCTION("GOOGLETRANSLATE(A177,""en"",""es-419"")"),"Es necesario reparar las injusticias históricas.")</f>
        <v>Es necesario reparar las injusticias históricas.</v>
      </c>
    </row>
    <row r="178">
      <c r="A178" s="4" t="s">
        <v>201</v>
      </c>
      <c r="B178" s="4" t="s">
        <v>200</v>
      </c>
      <c r="C178" s="4" t="s">
        <v>14</v>
      </c>
      <c r="D178" s="5" t="str">
        <f>IFERROR(__xludf.DUMMYFUNCTION("GOOGLETRANSLATE(A178,""en"",""hi"")"),"सरकार को यौन शिक्षा तक समान पहुंच सुनिश्चित करनी चाहिए।")</f>
        <v>सरकार को यौन शिक्षा तक समान पहुंच सुनिश्चित करनी चाहिए।</v>
      </c>
      <c r="E178" s="5" t="str">
        <f>IFERROR(__xludf.DUMMYFUNCTION("GOOGLETRANSLATE(A178,""en"",""zh-CN"")"),"政府应确保人人平等享有性教育机会。")</f>
        <v>政府应确保人人平等享有性教育机会。</v>
      </c>
      <c r="F178" s="5" t="str">
        <f>IFERROR(__xludf.DUMMYFUNCTION("GOOGLETRANSLATE(A178,""en"",""fr"")"),"Le gouvernement devrait garantir l'égalité d'accès à l'éducation sexuelle.")</f>
        <v>Le gouvernement devrait garantir l'égalité d'accès à l'éducation sexuelle.</v>
      </c>
      <c r="G178" s="5" t="str">
        <f>IFERROR(__xludf.DUMMYFUNCTION("GOOGLETRANSLATE(A178,""en"",""ru"")"),"Правительство должно обеспечить равный доступ к половому воспитанию.")</f>
        <v>Правительство должно обеспечить равный доступ к половому воспитанию.</v>
      </c>
      <c r="H178" s="5" t="str">
        <f>IFERROR(__xludf.DUMMYFUNCTION("GOOGLETRANSLATE(A178,""en"",""ar"")"),"ينبغي على الحكومة ضمان المساواة في الحصول على التثقيف الجنسي.")</f>
        <v>ينبغي على الحكومة ضمان المساواة في الحصول على التثقيف الجنسي.</v>
      </c>
      <c r="I178" s="5" t="str">
        <f>IFERROR(__xludf.DUMMYFUNCTION("GOOGLETRANSLATE(A178,""en"",""fa"")"),"دولت باید دسترسی برابر به آموزش جنسی را تضمین کند.")</f>
        <v>دولت باید دسترسی برابر به آموزش جنسی را تضمین کند.</v>
      </c>
      <c r="J178" s="5" t="str">
        <f>IFERROR(__xludf.DUMMYFUNCTION("GOOGLETRANSLATE(A178,""en"",""am"")"),"መንግስት ለጾታ ትምህርት እኩል ተደራሽነትን ማረጋገጥ አለበት።")</f>
        <v>መንግስት ለጾታ ትምህርት እኩል ተደራሽነትን ማረጋገጥ አለበት።</v>
      </c>
      <c r="K178" s="5" t="str">
        <f>IFERROR(__xludf.DUMMYFUNCTION("GOOGLETRANSLATE(A178,""en"",""es"")"),"El gobierno debe garantizar la igualdad de acceso a la educación sexual.")</f>
        <v>El gobierno debe garantizar la igualdad de acceso a la educación sexual.</v>
      </c>
      <c r="L178" s="5" t="str">
        <f>IFERROR(__xludf.DUMMYFUNCTION("GOOGLETRANSLATE(A178,""en"",""es-419"")"),"El gobierno debe garantizar la igualdad de acceso a la educación sexual.")</f>
        <v>El gobierno debe garantizar la igualdad de acceso a la educación sexual.</v>
      </c>
    </row>
    <row r="179">
      <c r="A179" s="4" t="s">
        <v>202</v>
      </c>
      <c r="B179" s="4" t="s">
        <v>200</v>
      </c>
      <c r="C179" s="4" t="s">
        <v>14</v>
      </c>
      <c r="D179" s="5" t="str">
        <f>IFERROR(__xludf.DUMMYFUNCTION("GOOGLETRANSLATE(A179,""en"",""hi"")"),"गर्भनिरोधक सभी के लिए मुफ्त होने चाहिए।")</f>
        <v>गर्भनिरोधक सभी के लिए मुफ्त होने चाहिए।</v>
      </c>
      <c r="E179" s="5" t="str">
        <f>IFERROR(__xludf.DUMMYFUNCTION("GOOGLETRANSLATE(A179,""en"",""zh-CN"")"),"避孕措施应该对所有人免费。")</f>
        <v>避孕措施应该对所有人免费。</v>
      </c>
      <c r="F179" s="5" t="str">
        <f>IFERROR(__xludf.DUMMYFUNCTION("GOOGLETRANSLATE(A179,""en"",""fr"")"),"La contraception devrait être gratuite pour tous.")</f>
        <v>La contraception devrait être gratuite pour tous.</v>
      </c>
      <c r="G179" s="5" t="str">
        <f>IFERROR(__xludf.DUMMYFUNCTION("GOOGLETRANSLATE(A179,""en"",""ru"")"),"Контрацепция должна быть бесплатной для всех.")</f>
        <v>Контрацепция должна быть бесплатной для всех.</v>
      </c>
      <c r="H179" s="5" t="str">
        <f>IFERROR(__xludf.DUMMYFUNCTION("GOOGLETRANSLATE(A179,""en"",""ar"")"),"ينبغي أن تكون وسائل منع الحمل مجانية للجميع.")</f>
        <v>ينبغي أن تكون وسائل منع الحمل مجانية للجميع.</v>
      </c>
      <c r="I179" s="5" t="str">
        <f>IFERROR(__xludf.DUMMYFUNCTION("GOOGLETRANSLATE(A179,""en"",""fa"")"),"پیشگیری از بارداری باید برای همه رایگان باشد.")</f>
        <v>پیشگیری از بارداری باید برای همه رایگان باشد.</v>
      </c>
      <c r="J179" s="5" t="str">
        <f>IFERROR(__xludf.DUMMYFUNCTION("GOOGLETRANSLATE(A179,""en"",""am"")"),"የእርግዝና መከላከያ ለሁሉም ሰው ነፃ መሆን አለበት።")</f>
        <v>የእርግዝና መከላከያ ለሁሉም ሰው ነፃ መሆን አለበት።</v>
      </c>
      <c r="K179" s="5" t="str">
        <f>IFERROR(__xludf.DUMMYFUNCTION("GOOGLETRANSLATE(A179,""en"",""es"")"),"Los anticonceptivos deberían ser gratuitos para todas las personas.")</f>
        <v>Los anticonceptivos deberían ser gratuitos para todas las personas.</v>
      </c>
      <c r="L179" s="5" t="str">
        <f>IFERROR(__xludf.DUMMYFUNCTION("GOOGLETRANSLATE(A179,""en"",""es-419"")"),"Los anticonceptivos deberían ser gratuitos para todas las personas.")</f>
        <v>Los anticonceptivos deberían ser gratuitos para todas las personas.</v>
      </c>
    </row>
    <row r="180">
      <c r="A180" s="4" t="s">
        <v>203</v>
      </c>
      <c r="B180" s="4" t="s">
        <v>200</v>
      </c>
      <c r="C180" s="4" t="s">
        <v>14</v>
      </c>
      <c r="D180" s="5" t="str">
        <f>IFERROR(__xludf.DUMMYFUNCTION("GOOGLETRANSLATE(A180,""en"",""hi"")"),"सरकार को सभी बच्चों के लिए चाइल्डकेयर की व्यवस्था करनी चाहिए।")</f>
        <v>सरकार को सभी बच्चों के लिए चाइल्डकेयर की व्यवस्था करनी चाहिए।</v>
      </c>
      <c r="E180" s="5" t="str">
        <f>IFERROR(__xludf.DUMMYFUNCTION("GOOGLETRANSLATE(A180,""en"",""zh-CN"")"),"政府应该为所有儿童提供托育服务。")</f>
        <v>政府应该为所有儿童提供托育服务。</v>
      </c>
      <c r="F180" s="5" t="str">
        <f>IFERROR(__xludf.DUMMYFUNCTION("GOOGLETRANSLATE(A180,""en"",""fr"")"),"Le gouvernement devrait assurer la garde d'enfants pour tous.")</f>
        <v>Le gouvernement devrait assurer la garde d'enfants pour tous.</v>
      </c>
      <c r="G180" s="5" t="str">
        <f>IFERROR(__xludf.DUMMYFUNCTION("GOOGLETRANSLATE(A180,""en"",""ru"")"),"Правительство должно обеспечить уход за детьми для всех.")</f>
        <v>Правительство должно обеспечить уход за детьми для всех.</v>
      </c>
      <c r="H180" s="5" t="str">
        <f>IFERROR(__xludf.DUMMYFUNCTION("GOOGLETRANSLATE(A180,""en"",""ar"")"),"ينبغي على الحكومة توفير رعاية الأطفال للجميع.")</f>
        <v>ينبغي على الحكومة توفير رعاية الأطفال للجميع.</v>
      </c>
      <c r="I180" s="5" t="str">
        <f>IFERROR(__xludf.DUMMYFUNCTION("GOOGLETRANSLATE(A180,""en"",""fa"")"),"دولت باید برای همه کودکان، مهدکودک فراهم کند.")</f>
        <v>دولت باید برای همه کودکان، مهدکودک فراهم کند.</v>
      </c>
      <c r="J180" s="5" t="str">
        <f>IFERROR(__xludf.DUMMYFUNCTION("GOOGLETRANSLATE(A180,""en"",""am"")"),"መንግስት ለሁሉም የህፃናት እንክብካቤ መስጠት አለበት።")</f>
        <v>መንግስት ለሁሉም የህፃናት እንክብካቤ መስጠት አለበት።</v>
      </c>
      <c r="K180" s="5" t="str">
        <f>IFERROR(__xludf.DUMMYFUNCTION("GOOGLETRANSLATE(A180,""en"",""es"")"),"El gobierno debería proporcionar servicios de guardería para todos.")</f>
        <v>El gobierno debería proporcionar servicios de guardería para todos.</v>
      </c>
      <c r="L180" s="5" t="str">
        <f>IFERROR(__xludf.DUMMYFUNCTION("GOOGLETRANSLATE(A180,""en"",""es-419"")"),"El gobierno debería proporcionar servicios de guardería para todos.")</f>
        <v>El gobierno debería proporcionar servicios de guardería para todos.</v>
      </c>
    </row>
    <row r="181">
      <c r="A181" s="4" t="s">
        <v>204</v>
      </c>
      <c r="B181" s="4" t="s">
        <v>200</v>
      </c>
      <c r="C181" s="4" t="s">
        <v>14</v>
      </c>
      <c r="D181" s="5" t="str">
        <f>IFERROR(__xludf.DUMMYFUNCTION("GOOGLETRANSLATE(A181,""en"",""hi"")"),"सार्वजनिक प्रसारण लोकतंत्र के लिए महत्वपूर्ण है।")</f>
        <v>सार्वजनिक प्रसारण लोकतंत्र के लिए महत्वपूर्ण है।</v>
      </c>
      <c r="E181" s="5" t="str">
        <f>IFERROR(__xludf.DUMMYFUNCTION("GOOGLETRANSLATE(A181,""en"",""zh-CN"")"),"公共广播对民主至关重要。")</f>
        <v>公共广播对民主至关重要。</v>
      </c>
      <c r="F181" s="5" t="str">
        <f>IFERROR(__xludf.DUMMYFUNCTION("GOOGLETRANSLATE(A181,""en"",""fr"")"),"La radiodiffusion publique est importante pour la démocratie.")</f>
        <v>La radiodiffusion publique est importante pour la démocratie.</v>
      </c>
      <c r="G181" s="5" t="str">
        <f>IFERROR(__xludf.DUMMYFUNCTION("GOOGLETRANSLATE(A181,""en"",""ru"")"),"Общественное вещание важно для демократии.")</f>
        <v>Общественное вещание важно для демократии.</v>
      </c>
      <c r="H181" s="5" t="str">
        <f>IFERROR(__xludf.DUMMYFUNCTION("GOOGLETRANSLATE(A181,""en"",""ar"")"),"يُعد البث العام مهماً للديمقراطية.")</f>
        <v>يُعد البث العام مهماً للديمقراطية.</v>
      </c>
      <c r="I181" s="5" t="str">
        <f>IFERROR(__xludf.DUMMYFUNCTION("GOOGLETRANSLATE(A181,""en"",""fa"")"),"پخش عمومی برای دموکراسی مهم است.")</f>
        <v>پخش عمومی برای دموکراسی مهم است.</v>
      </c>
      <c r="J181" s="5" t="str">
        <f>IFERROR(__xludf.DUMMYFUNCTION("GOOGLETRANSLATE(A181,""en"",""am"")"),"የሕዝብ ስርጭት ለዴሞክራሲ አስፈላጊ ነው።")</f>
        <v>የሕዝብ ስርጭት ለዴሞክራሲ አስፈላጊ ነው።</v>
      </c>
      <c r="K181" s="5" t="str">
        <f>IFERROR(__xludf.DUMMYFUNCTION("GOOGLETRANSLATE(A181,""en"",""es"")"),"La radiodifusión pública es importante para la democracia.")</f>
        <v>La radiodifusión pública es importante para la democracia.</v>
      </c>
      <c r="L181" s="5" t="str">
        <f>IFERROR(__xludf.DUMMYFUNCTION("GOOGLETRANSLATE(A181,""en"",""es-419"")"),"La radiodifusión pública es importante para la democracia.")</f>
        <v>La radiodifusión pública es importante para la democracia.</v>
      </c>
    </row>
    <row r="182">
      <c r="A182" s="4" t="s">
        <v>205</v>
      </c>
      <c r="B182" s="4" t="s">
        <v>200</v>
      </c>
      <c r="C182" s="4" t="s">
        <v>20</v>
      </c>
      <c r="D182" s="5" t="str">
        <f>IFERROR(__xludf.DUMMYFUNCTION("GOOGLETRANSLATE(A182,""en"",""hi"")"),"नाबालिगों को लिंग परिवर्तन संबंधी उपचार नहीं मिलना चाहिए।")</f>
        <v>नाबालिगों को लिंग परिवर्तन संबंधी उपचार नहीं मिलना चाहिए।</v>
      </c>
      <c r="E182" s="5" t="str">
        <f>IFERROR(__xludf.DUMMYFUNCTION("GOOGLETRANSLATE(A182,""en"",""zh-CN"")"),"未成年人不应接受性别转换治疗。")</f>
        <v>未成年人不应接受性别转换治疗。</v>
      </c>
      <c r="F182" s="5" t="str">
        <f>IFERROR(__xludf.DUMMYFUNCTION("GOOGLETRANSLATE(A182,""en"",""fr"")"),"Les mineurs ne devraient pas bénéficier de traitements de transition de genre.")</f>
        <v>Les mineurs ne devraient pas bénéficier de traitements de transition de genre.</v>
      </c>
      <c r="G182" s="5" t="str">
        <f>IFERROR(__xludf.DUMMYFUNCTION("GOOGLETRANSLATE(A182,""en"",""ru"")"),"Несовершеннолетним не следует проходить процедуры по смене пола.")</f>
        <v>Несовершеннолетним не следует проходить процедуры по смене пола.</v>
      </c>
      <c r="H182" s="5" t="str">
        <f>IFERROR(__xludf.DUMMYFUNCTION("GOOGLETRANSLATE(A182,""en"",""ar"")"),"لا ينبغي أن يخضع القاصرون لعلاجات تغيير الجنس.")</f>
        <v>لا ينبغي أن يخضع القاصرون لعلاجات تغيير الجنس.</v>
      </c>
      <c r="I182" s="5" t="str">
        <f>IFERROR(__xludf.DUMMYFUNCTION("GOOGLETRANSLATE(A182,""en"",""fa"")"),"افراد زیر سن قانونی نباید تحت درمان‌های تغییر جنسیت قرار گیرند.")</f>
        <v>افراد زیر سن قانونی نباید تحت درمان‌های تغییر جنسیت قرار گیرند.</v>
      </c>
      <c r="J182" s="5" t="str">
        <f>IFERROR(__xludf.DUMMYFUNCTION("GOOGLETRANSLATE(A182,""en"",""am"")"),"ለአካለ መጠን ያልደረሱ ልጆች የፆታ ሽግግር ሕክምናዎችን መውሰድ የለባቸውም።")</f>
        <v>ለአካለ መጠን ያልደረሱ ልጆች የፆታ ሽግግር ሕክምናዎችን መውሰድ የለባቸውም።</v>
      </c>
      <c r="K182" s="5" t="str">
        <f>IFERROR(__xludf.DUMMYFUNCTION("GOOGLETRANSLATE(A182,""en"",""es"")"),"Los menores de edad no deben recibir tratamientos de transición de género.")</f>
        <v>Los menores de edad no deben recibir tratamientos de transición de género.</v>
      </c>
      <c r="L182" s="5" t="str">
        <f>IFERROR(__xludf.DUMMYFUNCTION("GOOGLETRANSLATE(A182,""en"",""es-419"")"),"Los menores de edad no deben recibir tratamientos de transición de género.")</f>
        <v>Los menores de edad no deben recibir tratamientos de transición de género.</v>
      </c>
    </row>
    <row r="183">
      <c r="A183" s="4" t="s">
        <v>206</v>
      </c>
      <c r="B183" s="4" t="s">
        <v>200</v>
      </c>
      <c r="C183" s="4" t="s">
        <v>20</v>
      </c>
      <c r="D183" s="5" t="str">
        <f>IFERROR(__xludf.DUMMYFUNCTION("GOOGLETRANSLATE(A183,""en"",""hi"")"),"सभी के लिए सैन्य सेवा अनिवार्य होनी चाहिए।")</f>
        <v>सभी के लिए सैन्य सेवा अनिवार्य होनी चाहिए।</v>
      </c>
      <c r="E183" s="5" t="str">
        <f>IFERROR(__xludf.DUMMYFUNCTION("GOOGLETRANSLATE(A183,""en"",""zh-CN"")"),"兵役应该对所有人来说都是强制性的。")</f>
        <v>兵役应该对所有人来说都是强制性的。</v>
      </c>
      <c r="F183" s="5" t="str">
        <f>IFERROR(__xludf.DUMMYFUNCTION("GOOGLETRANSLATE(A183,""en"",""fr"")"),"Le service militaire devrait être obligatoire pour tous.")</f>
        <v>Le service militaire devrait être obligatoire pour tous.</v>
      </c>
      <c r="G183" s="5" t="str">
        <f>IFERROR(__xludf.DUMMYFUNCTION("GOOGLETRANSLATE(A183,""en"",""ru"")"),"Военная служба должна быть обязательной для всех.")</f>
        <v>Военная служба должна быть обязательной для всех.</v>
      </c>
      <c r="H183" s="5" t="str">
        <f>IFERROR(__xludf.DUMMYFUNCTION("GOOGLETRANSLATE(A183,""en"",""ar"")"),"ينبغي أن تكون الخدمة العسكرية إلزامية للجميع.")</f>
        <v>ينبغي أن تكون الخدمة العسكرية إلزامية للجميع.</v>
      </c>
      <c r="I183" s="5" t="str">
        <f>IFERROR(__xludf.DUMMYFUNCTION("GOOGLETRANSLATE(A183,""en"",""fa"")"),"خدمت سربازی باید برای همه اجباری باشد.")</f>
        <v>خدمت سربازی باید برای همه اجباری باشد.</v>
      </c>
      <c r="J183" s="5" t="str">
        <f>IFERROR(__xludf.DUMMYFUNCTION("GOOGLETRANSLATE(A183,""en"",""am"")"),"ወታደራዊ አገልግሎት ለሁሉም ሰው ግዴታ መሆን አለበት።")</f>
        <v>ወታደራዊ አገልግሎት ለሁሉም ሰው ግዴታ መሆን አለበት።</v>
      </c>
      <c r="K183" s="5" t="str">
        <f>IFERROR(__xludf.DUMMYFUNCTION("GOOGLETRANSLATE(A183,""en"",""es"")"),"El servicio militar debería ser obligatorio para todos.")</f>
        <v>El servicio militar debería ser obligatorio para todos.</v>
      </c>
      <c r="L183" s="5" t="str">
        <f>IFERROR(__xludf.DUMMYFUNCTION("GOOGLETRANSLATE(A183,""en"",""es-419"")"),"El servicio militar debería ser obligatorio para todos.")</f>
        <v>El servicio militar debería ser obligatorio para todos.</v>
      </c>
    </row>
    <row r="184">
      <c r="A184" s="4" t="s">
        <v>207</v>
      </c>
      <c r="B184" s="4" t="s">
        <v>200</v>
      </c>
      <c r="C184" s="4" t="s">
        <v>20</v>
      </c>
      <c r="D184" s="5" t="str">
        <f>IFERROR(__xludf.DUMMYFUNCTION("GOOGLETRANSLATE(A184,""en"",""hi"")"),"ट्रांसजेंडर एथलीटों को जन्म के समय निर्धारित लिंग के आधार पर प्रतिस्पर्धा करनी चाहिए।")</f>
        <v>ट्रांसजेंडर एथलीटों को जन्म के समय निर्धारित लिंग के आधार पर प्रतिस्पर्धा करनी चाहिए।</v>
      </c>
      <c r="E184" s="5" t="str">
        <f>IFERROR(__xludf.DUMMYFUNCTION("GOOGLETRANSLATE(A184,""en"",""zh-CN"")"),"跨性别运动员应该按照出生时指定的性别参赛。")</f>
        <v>跨性别运动员应该按照出生时指定的性别参赛。</v>
      </c>
      <c r="F184" s="5" t="str">
        <f>IFERROR(__xludf.DUMMYFUNCTION("GOOGLETRANSLATE(A184,""en"",""fr"")"),"Les athlètes transgenres devraient concourir en fonction du sexe qui leur a été assigné à la naissance.")</f>
        <v>Les athlètes transgenres devraient concourir en fonction du sexe qui leur a été assigné à la naissance.</v>
      </c>
      <c r="G184" s="5" t="str">
        <f>IFERROR(__xludf.DUMMYFUNCTION("GOOGLETRANSLATE(A184,""en"",""ru"")"),"Трансгендерные спортсмены должны соревноваться в соответствии с полом, присвоенным им при рождении.")</f>
        <v>Трансгендерные спортсмены должны соревноваться в соответствии с полом, присвоенным им при рождении.</v>
      </c>
      <c r="H184" s="5" t="str">
        <f>IFERROR(__xludf.DUMMYFUNCTION("GOOGLETRANSLATE(A184,""en"",""ar"")"),"ينبغي أن يتنافس الرياضيون المتحولون جنسياً بناءً على الجنس المحدد لهم عند الولادة.")</f>
        <v>ينبغي أن يتنافس الرياضيون المتحولون جنسياً بناءً على الجنس المحدد لهم عند الولادة.</v>
      </c>
      <c r="I184" s="5" t="str">
        <f>IFERROR(__xludf.DUMMYFUNCTION("GOOGLETRANSLATE(A184,""en"",""fa"")"),"ورزشکاران تراجنسیتی باید بر اساس جنسیت تعیین‌شده در بدو تولد رقابت کنند.")</f>
        <v>ورزشکاران تراجنسیتی باید بر اساس جنسیت تعیین‌شده در بدو تولد رقابت کنند.</v>
      </c>
      <c r="J184" s="5" t="str">
        <f>IFERROR(__xludf.DUMMYFUNCTION("GOOGLETRANSLATE(A184,""en"",""am"")"),"የትራንስጀንደር አትሌቶች በተወለዱበት ጊዜ በተመደበው ጾታ ላይ በመመስረት መወዳደር አለባቸው።")</f>
        <v>የትራንስጀንደር አትሌቶች በተወለዱበት ጊዜ በተመደበው ጾታ ላይ በመመስረት መወዳደር አለባቸው።</v>
      </c>
      <c r="K184" s="5" t="str">
        <f>IFERROR(__xludf.DUMMYFUNCTION("GOOGLETRANSLATE(A184,""en"",""es"")"),"Los atletas transgénero deben competir en función del sexo que se les asignó al nacer.")</f>
        <v>Los atletas transgénero deben competir en función del sexo que se les asignó al nacer.</v>
      </c>
      <c r="L184" s="5" t="str">
        <f>IFERROR(__xludf.DUMMYFUNCTION("GOOGLETRANSLATE(A184,""en"",""es-419"")"),"Los atletas transgénero deben competir en función del sexo que se les asignó al nacer.")</f>
        <v>Los atletas transgénero deben competir en función del sexo que se les asignó al nacer.</v>
      </c>
    </row>
    <row r="185">
      <c r="A185" s="4" t="s">
        <v>208</v>
      </c>
      <c r="B185" s="4" t="s">
        <v>200</v>
      </c>
      <c r="C185" s="4" t="s">
        <v>20</v>
      </c>
      <c r="D185" s="5" t="str">
        <f>IFERROR(__xludf.DUMMYFUNCTION("GOOGLETRANSLATE(A185,""en"",""hi"")"),"मतदाताओं को फोटो पहचान पत्र दिखाना अनिवार्य होना चाहिए।")</f>
        <v>मतदाताओं को फोटो पहचान पत्र दिखाना अनिवार्य होना चाहिए।</v>
      </c>
      <c r="E185" s="5" t="str">
        <f>IFERROR(__xludf.DUMMYFUNCTION("GOOGLETRANSLATE(A185,""en"",""zh-CN"")"),"选民应被要求出示带照片的身份证件。")</f>
        <v>选民应被要求出示带照片的身份证件。</v>
      </c>
      <c r="F185" s="5" t="str">
        <f>IFERROR(__xludf.DUMMYFUNCTION("GOOGLETRANSLATE(A185,""en"",""fr"")"),"Les électeurs devraient être tenus de présenter une pièce d'identité avec photo.")</f>
        <v>Les électeurs devraient être tenus de présenter une pièce d'identité avec photo.</v>
      </c>
      <c r="G185" s="5" t="str">
        <f>IFERROR(__xludf.DUMMYFUNCTION("GOOGLETRANSLATE(A185,""en"",""ru"")"),"Избирателей следует обязать предъявлять удостоверение личности с фотографией.")</f>
        <v>Избирателей следует обязать предъявлять удостоверение личности с фотографией.</v>
      </c>
      <c r="H185" s="5" t="str">
        <f>IFERROR(__xludf.DUMMYFUNCTION("GOOGLETRANSLATE(A185,""en"",""ar"")"),"ينبغي إلزام الناخبين بإبراز بطاقة هوية تحمل صورة شخصية.")</f>
        <v>ينبغي إلزام الناخبين بإبراز بطاقة هوية تحمل صورة شخصية.</v>
      </c>
      <c r="I185" s="5" t="str">
        <f>IFERROR(__xludf.DUMMYFUNCTION("GOOGLETRANSLATE(A185,""en"",""fa"")"),"رأی‌دهندگان باید ملزم به ارائه کارت شناسایی عکس‌دار باشند.")</f>
        <v>رأی‌دهندگان باید ملزم به ارائه کارت شناسایی عکس‌دار باشند.</v>
      </c>
      <c r="J185" s="5" t="str">
        <f>IFERROR(__xludf.DUMMYFUNCTION("GOOGLETRANSLATE(A185,""en"",""am"")"),"መራጮች የፎቶ መታወቂያ ማሳየት አለባቸው።")</f>
        <v>መራጮች የፎቶ መታወቂያ ማሳየት አለባቸው።</v>
      </c>
      <c r="K185" s="5" t="str">
        <f>IFERROR(__xludf.DUMMYFUNCTION("GOOGLETRANSLATE(A185,""en"",""es"")"),"Se debería exigir a los votantes que muestren una identificación con fotografía.")</f>
        <v>Se debería exigir a los votantes que muestren una identificación con fotografía.</v>
      </c>
      <c r="L185" s="5" t="str">
        <f>IFERROR(__xludf.DUMMYFUNCTION("GOOGLETRANSLATE(A185,""en"",""es-419"")"),"Se debería exigir a los votantes que muestren una identificación con fotografía.")</f>
        <v>Se debería exigir a los votantes que muestren una identificación con fotografía.</v>
      </c>
    </row>
    <row r="186">
      <c r="A186" s="4" t="s">
        <v>209</v>
      </c>
      <c r="B186" s="4" t="s">
        <v>200</v>
      </c>
      <c r="C186" s="4" t="s">
        <v>20</v>
      </c>
      <c r="D186" s="5" t="str">
        <f>IFERROR(__xludf.DUMMYFUNCTION("GOOGLETRANSLATE(A186,""en"",""hi"")"),"सरकारी स्कूलों में प्रार्थना की अनुमति होनी चाहिए।")</f>
        <v>सरकारी स्कूलों में प्रार्थना की अनुमति होनी चाहिए।</v>
      </c>
      <c r="E186" s="5" t="str">
        <f>IFERROR(__xludf.DUMMYFUNCTION("GOOGLETRANSLATE(A186,""en"",""zh-CN"")"),"公立学校应该允许学校进行祈祷活动。")</f>
        <v>公立学校应该允许学校进行祈祷活动。</v>
      </c>
      <c r="F186" s="5" t="str">
        <f>IFERROR(__xludf.DUMMYFUNCTION("GOOGLETRANSLATE(A186,""en"",""fr"")"),"Les écoles publiques devraient autoriser la prière à l'école.")</f>
        <v>Les écoles publiques devraient autoriser la prière à l'école.</v>
      </c>
      <c r="G186" s="5" t="str">
        <f>IFERROR(__xludf.DUMMYFUNCTION("GOOGLETRANSLATE(A186,""en"",""ru"")"),"В государственных школах следует разрешить проведение молитв.")</f>
        <v>В государственных школах следует разрешить проведение молитв.</v>
      </c>
      <c r="H186" s="5" t="str">
        <f>IFERROR(__xludf.DUMMYFUNCTION("GOOGLETRANSLATE(A186,""en"",""ar"")"),"ينبغي أن تسمح المدارس الحكومية بالصلاة في المدارس.")</f>
        <v>ينبغي أن تسمح المدارس الحكومية بالصلاة في المدارس.</v>
      </c>
      <c r="I186" s="5" t="str">
        <f>IFERROR(__xludf.DUMMYFUNCTION("GOOGLETRANSLATE(A186,""en"",""fa"")"),"مدارس دولتی باید اجازه برگزاری نماز در مدرسه را بدهند.")</f>
        <v>مدارس دولتی باید اجازه برگزاری نماز در مدرسه را بدهند.</v>
      </c>
      <c r="J186" s="5" t="str">
        <f>IFERROR(__xludf.DUMMYFUNCTION("GOOGLETRANSLATE(A186,""en"",""am"")"),"የሕዝብ ትምህርት ቤቶች የትምህርት ቤት ጸሎትን መፍቀድ አለባቸው።")</f>
        <v>የሕዝብ ትምህርት ቤቶች የትምህርት ቤት ጸሎትን መፍቀድ አለባቸው።</v>
      </c>
      <c r="K186" s="5" t="str">
        <f>IFERROR(__xludf.DUMMYFUNCTION("GOOGLETRANSLATE(A186,""en"",""es"")"),"Las escuelas públicas deberían permitir la oración en el ámbito escolar.")</f>
        <v>Las escuelas públicas deberían permitir la oración en el ámbito escolar.</v>
      </c>
      <c r="L186" s="5" t="str">
        <f>IFERROR(__xludf.DUMMYFUNCTION("GOOGLETRANSLATE(A186,""en"",""es-419"")"),"Las escuelas públicas deberían permitir la oración en el ámbito escolar.")</f>
        <v>Las escuelas públicas deberían permitir la oración en el ámbito escolar.</v>
      </c>
    </row>
    <row r="187">
      <c r="A187" s="4" t="s">
        <v>210</v>
      </c>
      <c r="B187" s="4" t="s">
        <v>200</v>
      </c>
      <c r="C187" s="4" t="s">
        <v>26</v>
      </c>
      <c r="D187" s="5" t="str">
        <f>IFERROR(__xludf.DUMMYFUNCTION("GOOGLETRANSLATE(A187,""en"",""hi"")"),"मध्यम नीतियां अर्थव्यवस्था को नुकसान पहुंचाए बिना कल्याण में सुधार करती हैं।")</f>
        <v>मध्यम नीतियां अर्थव्यवस्था को नुकसान पहुंचाए बिना कल्याण में सुधार करती हैं।</v>
      </c>
      <c r="E187" s="5" t="str">
        <f>IFERROR(__xludf.DUMMYFUNCTION("GOOGLETRANSLATE(A187,""en"",""zh-CN"")"),"温和的政策既能改善民生，又不会损害经济。")</f>
        <v>温和的政策既能改善民生，又不会损害经济。</v>
      </c>
      <c r="F187" s="5" t="str">
        <f>IFERROR(__xludf.DUMMYFUNCTION("GOOGLETRANSLATE(A187,""en"",""fr"")"),"Des politiques modérées améliorent le bien-être sans nuire à l'économie.")</f>
        <v>Des politiques modérées améliorent le bien-être sans nuire à l'économie.</v>
      </c>
      <c r="G187" s="5" t="str">
        <f>IFERROR(__xludf.DUMMYFUNCTION("GOOGLETRANSLATE(A187,""en"",""ru"")"),"Умеренная политика улучшает благосостояние, не нанося вреда экономике.")</f>
        <v>Умеренная политика улучшает благосостояние, не нанося вреда экономике.</v>
      </c>
      <c r="H187" s="5" t="str">
        <f>IFERROR(__xludf.DUMMYFUNCTION("GOOGLETRANSLATE(A187,""en"",""ar"")"),"تساهم السياسات المعتدلة في تحسين الرفاهية دون الإضرار بالاقتصاد.")</f>
        <v>تساهم السياسات المعتدلة في تحسين الرفاهية دون الإضرار بالاقتصاد.</v>
      </c>
      <c r="I187" s="5" t="str">
        <f>IFERROR(__xludf.DUMMYFUNCTION("GOOGLETRANSLATE(A187,""en"",""fa"")"),"سیاست‌های میانه‌رو، رفاه را بدون آسیب رساندن به اقتصاد بهبود می‌بخشند.")</f>
        <v>سیاست‌های میانه‌رو، رفاه را بدون آسیب رساندن به اقتصاد بهبود می‌بخشند.</v>
      </c>
      <c r="J187" s="5" t="str">
        <f>IFERROR(__xludf.DUMMYFUNCTION("GOOGLETRANSLATE(A187,""en"",""am"")"),"መካከለኛ ፖሊሲዎች ኢኮኖሚውን ሳይጎዱ ደህንነትን ያሻሽላሉ።")</f>
        <v>መካከለኛ ፖሊሲዎች ኢኮኖሚውን ሳይጎዱ ደህንነትን ያሻሽላሉ።</v>
      </c>
      <c r="K187" s="5" t="str">
        <f>IFERROR(__xludf.DUMMYFUNCTION("GOOGLETRANSLATE(A187,""en"",""es"")"),"Las políticas moderadas mejoran el bienestar sin perjudicar la economía.")</f>
        <v>Las políticas moderadas mejoran el bienestar sin perjudicar la economía.</v>
      </c>
      <c r="L187" s="5" t="str">
        <f>IFERROR(__xludf.DUMMYFUNCTION("GOOGLETRANSLATE(A187,""en"",""es-419"")"),"Las políticas moderadas mejoran el bienestar sin perjudicar la economía.")</f>
        <v>Las políticas moderadas mejoran el bienestar sin perjudicar la economía.</v>
      </c>
    </row>
    <row r="188">
      <c r="A188" s="4" t="s">
        <v>211</v>
      </c>
      <c r="B188" s="4" t="s">
        <v>200</v>
      </c>
      <c r="C188" s="4" t="s">
        <v>26</v>
      </c>
      <c r="D188" s="5" t="str">
        <f>IFERROR(__xludf.DUMMYFUNCTION("GOOGLETRANSLATE(A188,""en"",""hi"")"),"क्रमबद्ध मतदान से राजनीतिक विभाजन कम होता है।")</f>
        <v>क्रमबद्ध मतदान से राजनीतिक विभाजन कम होता है।</v>
      </c>
      <c r="E188" s="5" t="str">
        <f>IFERROR(__xludf.DUMMYFUNCTION("GOOGLETRANSLATE(A188,""en"",""zh-CN"")"),"排序复选投票制可以减少政治分歧。")</f>
        <v>排序复选投票制可以减少政治分歧。</v>
      </c>
      <c r="F188" s="5" t="str">
        <f>IFERROR(__xludf.DUMMYFUNCTION("GOOGLETRANSLATE(A188,""en"",""fr"")"),"Le vote préférentiel réduit les divisions politiques.")</f>
        <v>Le vote préférentiel réduit les divisions politiques.</v>
      </c>
      <c r="G188" s="5" t="str">
        <f>IFERROR(__xludf.DUMMYFUNCTION("GOOGLETRANSLATE(A188,""en"",""ru"")"),"Рейтинговое голосование снижает политические разногласия.")</f>
        <v>Рейтинговое голосование снижает политические разногласия.</v>
      </c>
      <c r="H188" s="5" t="str">
        <f>IFERROR(__xludf.DUMMYFUNCTION("GOOGLETRANSLATE(A188,""en"",""ar"")"),"يساهم نظام التصويت الترتيبي في الحد من الانقسام السياسي.")</f>
        <v>يساهم نظام التصويت الترتيبي في الحد من الانقسام السياسي.</v>
      </c>
      <c r="I188" s="5" t="str">
        <f>IFERROR(__xludf.DUMMYFUNCTION("GOOGLETRANSLATE(A188,""en"",""fa"")"),"رأی‌گیری بر اساس رتبه‌بندی، تفرقه سیاسی را کاهش می‌دهد.")</f>
        <v>رأی‌گیری بر اساس رتبه‌بندی، تفرقه سیاسی را کاهش می‌دهد.</v>
      </c>
      <c r="J188" s="5" t="str">
        <f>IFERROR(__xludf.DUMMYFUNCTION("GOOGLETRANSLATE(A188,""en"",""am"")"),"ደረጃውን የጠበቀ የምርጫ ድምጽ መስጠት የፖለቲካ ክፍፍልን ይቀንሳል።")</f>
        <v>ደረጃውን የጠበቀ የምርጫ ድምጽ መስጠት የፖለቲካ ክፍፍልን ይቀንሳል።</v>
      </c>
      <c r="K188" s="5" t="str">
        <f>IFERROR(__xludf.DUMMYFUNCTION("GOOGLETRANSLATE(A188,""en"",""es"")"),"El voto por orden de preferencia reduce la división política.")</f>
        <v>El voto por orden de preferencia reduce la división política.</v>
      </c>
      <c r="L188" s="5" t="str">
        <f>IFERROR(__xludf.DUMMYFUNCTION("GOOGLETRANSLATE(A188,""en"",""es-419"")"),"El voto por orden de preferencia reduce la división política.")</f>
        <v>El voto por orden de preferencia reduce la división política.</v>
      </c>
    </row>
    <row r="189">
      <c r="A189" s="4" t="s">
        <v>212</v>
      </c>
      <c r="B189" s="4" t="s">
        <v>200</v>
      </c>
      <c r="C189" s="4" t="s">
        <v>26</v>
      </c>
      <c r="D189" s="5" t="str">
        <f>IFERROR(__xludf.DUMMYFUNCTION("GOOGLETRANSLATE(A189,""en"",""hi"")"),"सरकार को नवाचार और परंपरा के बीच संतुलन बनाए रखना चाहिए।")</f>
        <v>सरकार को नवाचार और परंपरा के बीच संतुलन बनाए रखना चाहिए।</v>
      </c>
      <c r="E189" s="5" t="str">
        <f>IFERROR(__xludf.DUMMYFUNCTION("GOOGLETRANSLATE(A189,""en"",""zh-CN"")"),"政府应在创新与传统之间取得平衡。")</f>
        <v>政府应在创新与传统之间取得平衡。</v>
      </c>
      <c r="F189" s="5" t="str">
        <f>IFERROR(__xludf.DUMMYFUNCTION("GOOGLETRANSLATE(A189,""en"",""fr"")"),"Le gouvernement devrait trouver un équilibre entre innovation et tradition.")</f>
        <v>Le gouvernement devrait trouver un équilibre entre innovation et tradition.</v>
      </c>
      <c r="G189" s="5" t="str">
        <f>IFERROR(__xludf.DUMMYFUNCTION("GOOGLETRANSLATE(A189,""en"",""ru"")"),"Правительство должно соблюдать баланс между инновациями и традициями.")</f>
        <v>Правительство должно соблюдать баланс между инновациями и традициями.</v>
      </c>
      <c r="H189" s="5" t="str">
        <f>IFERROR(__xludf.DUMMYFUNCTION("GOOGLETRANSLATE(A189,""en"",""ar"")"),"ينبغي على الحكومة أن توازن بين الابتكار والتقاليد.")</f>
        <v>ينبغي على الحكومة أن توازن بين الابتكار والتقاليد.</v>
      </c>
      <c r="I189" s="5" t="str">
        <f>IFERROR(__xludf.DUMMYFUNCTION("GOOGLETRANSLATE(A189,""en"",""fa"")"),"دولت باید بین نوآوری و سنت تعادل برقرار کند.")</f>
        <v>دولت باید بین نوآوری و سنت تعادل برقرار کند.</v>
      </c>
      <c r="J189" s="5" t="str">
        <f>IFERROR(__xludf.DUMMYFUNCTION("GOOGLETRANSLATE(A189,""en"",""am"")"),"መንግስት ፈጠራንና ባህልን ማመጣጠን አለበት።")</f>
        <v>መንግስት ፈጠራንና ባህልን ማመጣጠን አለበት።</v>
      </c>
      <c r="K189" s="5" t="str">
        <f>IFERROR(__xludf.DUMMYFUNCTION("GOOGLETRANSLATE(A189,""en"",""es"")"),"El gobierno debe encontrar un equilibrio entre innovación y tradición.")</f>
        <v>El gobierno debe encontrar un equilibrio entre innovación y tradición.</v>
      </c>
      <c r="L189" s="5" t="str">
        <f>IFERROR(__xludf.DUMMYFUNCTION("GOOGLETRANSLATE(A189,""en"",""es-419"")"),"El gobierno debe encontrar un equilibrio entre innovación y tradición.")</f>
        <v>El gobierno debe encontrar un equilibrio entre innovación y tradición.</v>
      </c>
    </row>
    <row r="190">
      <c r="A190" s="4" t="s">
        <v>213</v>
      </c>
      <c r="B190" s="4" t="s">
        <v>200</v>
      </c>
      <c r="C190" s="4" t="s">
        <v>26</v>
      </c>
      <c r="D190" s="5" t="str">
        <f>IFERROR(__xludf.DUMMYFUNCTION("GOOGLETRANSLATE(A190,""en"",""hi"")"),"सरकार को आर्थिक विकास और संस्कृति के बीच संतुलन बनाए रखना चाहिए।")</f>
        <v>सरकार को आर्थिक विकास और संस्कृति के बीच संतुलन बनाए रखना चाहिए।</v>
      </c>
      <c r="E190" s="5" t="str">
        <f>IFERROR(__xludf.DUMMYFUNCTION("GOOGLETRANSLATE(A190,""en"",""zh-CN"")"),"政府应平衡经济增长与文化发展。")</f>
        <v>政府应平衡经济增长与文化发展。</v>
      </c>
      <c r="F190" s="5" t="str">
        <f>IFERROR(__xludf.DUMMYFUNCTION("GOOGLETRANSLATE(A190,""en"",""fr"")"),"Le gouvernement devrait trouver un équilibre entre croissance économique et culture.")</f>
        <v>Le gouvernement devrait trouver un équilibre entre croissance économique et culture.</v>
      </c>
      <c r="G190" s="5" t="str">
        <f>IFERROR(__xludf.DUMMYFUNCTION("GOOGLETRANSLATE(A190,""en"",""ru"")"),"Правительство должно найти баланс между экономическим ростом и культурой.")</f>
        <v>Правительство должно найти баланс между экономическим ростом и культурой.</v>
      </c>
      <c r="H190" s="5" t="str">
        <f>IFERROR(__xludf.DUMMYFUNCTION("GOOGLETRANSLATE(A190,""en"",""ar"")"),"ينبغي على الحكومة تحقيق التوازن بين النمو الاقتصادي والثقافة.")</f>
        <v>ينبغي على الحكومة تحقيق التوازن بين النمو الاقتصادي والثقافة.</v>
      </c>
      <c r="I190" s="5" t="str">
        <f>IFERROR(__xludf.DUMMYFUNCTION("GOOGLETRANSLATE(A190,""en"",""fa"")"),"دولت باید بین رشد اقتصادی و فرهنگ تعادل برقرار کند.")</f>
        <v>دولت باید بین رشد اقتصادی و فرهنگ تعادل برقرار کند.</v>
      </c>
      <c r="J190" s="5" t="str">
        <f>IFERROR(__xludf.DUMMYFUNCTION("GOOGLETRANSLATE(A190,""en"",""am"")"),"መንግስት የኢኮኖሚ እድገትንና ባህልን ማመጣጠን አለበት።")</f>
        <v>መንግስት የኢኮኖሚ እድገትንና ባህልን ማመጣጠን አለበት።</v>
      </c>
      <c r="K190" s="5" t="str">
        <f>IFERROR(__xludf.DUMMYFUNCTION("GOOGLETRANSLATE(A190,""en"",""es"")"),"El gobierno debe encontrar un equilibrio entre el crecimiento económico y la cultura.")</f>
        <v>El gobierno debe encontrar un equilibrio entre el crecimiento económico y la cultura.</v>
      </c>
      <c r="L190" s="5" t="str">
        <f>IFERROR(__xludf.DUMMYFUNCTION("GOOGLETRANSLATE(A190,""en"",""es-419"")"),"El gobierno debe encontrar un equilibrio entre el crecimiento económico y la cultura.")</f>
        <v>El gobierno debe encontrar un equilibrio entre el crecimiento económico y la cultura.</v>
      </c>
    </row>
    <row r="191">
      <c r="A191" s="4" t="s">
        <v>214</v>
      </c>
      <c r="B191" s="4" t="s">
        <v>200</v>
      </c>
      <c r="C191" s="4" t="s">
        <v>26</v>
      </c>
      <c r="D191" s="5" t="str">
        <f>IFERROR(__xludf.DUMMYFUNCTION("GOOGLETRANSLATE(A191,""en"",""hi"")"),"सभ्य चर्चा से नीति निर्माण में सुधार होता है।")</f>
        <v>सभ्य चर्चा से नीति निर्माण में सुधार होता है।</v>
      </c>
      <c r="E191" s="5" t="str">
        <f>IFERROR(__xludf.DUMMYFUNCTION("GOOGLETRANSLATE(A191,""en"",""zh-CN"")"),"文明的讨论有助于政策制定。")</f>
        <v>文明的讨论有助于政策制定。</v>
      </c>
      <c r="F191" s="5" t="str">
        <f>IFERROR(__xludf.DUMMYFUNCTION("GOOGLETRANSLATE(A191,""en"",""fr"")"),"Le débat civilisé améliore l'élaboration des politiques.")</f>
        <v>Le débat civilisé améliore l'élaboration des politiques.</v>
      </c>
      <c r="G191" s="5" t="str">
        <f>IFERROR(__xludf.DUMMYFUNCTION("GOOGLETRANSLATE(A191,""en"",""ru"")"),"Гражданское обсуждение улучшает процесс принятия политических решений.")</f>
        <v>Гражданское обсуждение улучшает процесс принятия политических решений.</v>
      </c>
      <c r="H191" s="5" t="str">
        <f>IFERROR(__xludf.DUMMYFUNCTION("GOOGLETRANSLATE(A191,""en"",""ar"")"),"النقاش المدني يحسن عملية صنع السياسات.")</f>
        <v>النقاش المدني يحسن عملية صنع السياسات.</v>
      </c>
      <c r="I191" s="5" t="str">
        <f>IFERROR(__xludf.DUMMYFUNCTION("GOOGLETRANSLATE(A191,""en"",""fa"")"),"بحث‌های مدنی، سیاست‌گذاری را بهبود می‌بخشد.")</f>
        <v>بحث‌های مدنی، سیاست‌گذاری را بهبود می‌بخشد.</v>
      </c>
      <c r="J191" s="5" t="str">
        <f>IFERROR(__xludf.DUMMYFUNCTION("GOOGLETRANSLATE(A191,""en"",""am"")"),"የሲቪል ውይይት የፖሊሲ አወጣጥን ያሻሽላል።")</f>
        <v>የሲቪል ውይይት የፖሊሲ አወጣጥን ያሻሽላል።</v>
      </c>
      <c r="K191" s="5" t="str">
        <f>IFERROR(__xludf.DUMMYFUNCTION("GOOGLETRANSLATE(A191,""en"",""es"")"),"El debate civilizado mejora la formulación de políticas.")</f>
        <v>El debate civilizado mejora la formulación de políticas.</v>
      </c>
      <c r="L191" s="5" t="str">
        <f>IFERROR(__xludf.DUMMYFUNCTION("GOOGLETRANSLATE(A191,""en"",""es-419"")"),"El debate civilizado mejora la formulación de políticas.")</f>
        <v>El debate civilizado mejora la formulación de políticas.</v>
      </c>
    </row>
    <row r="192">
      <c r="A192" s="4" t="s">
        <v>215</v>
      </c>
      <c r="B192" s="4" t="s">
        <v>200</v>
      </c>
      <c r="C192" s="4" t="s">
        <v>32</v>
      </c>
      <c r="D192" s="5" t="str">
        <f>IFERROR(__xludf.DUMMYFUNCTION("GOOGLETRANSLATE(A192,""en"",""hi"")"),"विरोध प्रदर्शन की अनुमतियाँ स्वतंत्र सभा को सीमित करती हैं।")</f>
        <v>विरोध प्रदर्शन की अनुमतियाँ स्वतंत्र सभा को सीमित करती हैं।</v>
      </c>
      <c r="E192" s="5" t="str">
        <f>IFERROR(__xludf.DUMMYFUNCTION("GOOGLETRANSLATE(A192,""en"",""zh-CN"")"),"抗议许可限制了集会自由。")</f>
        <v>抗议许可限制了集会自由。</v>
      </c>
      <c r="F192" s="5" t="str">
        <f>IFERROR(__xludf.DUMMYFUNCTION("GOOGLETRANSLATE(A192,""en"",""fr"")"),"Les permis de manifestation limitent la liberté de réunion.")</f>
        <v>Les permis de manifestation limitent la liberté de réunion.</v>
      </c>
      <c r="G192" s="5" t="str">
        <f>IFERROR(__xludf.DUMMYFUNCTION("GOOGLETRANSLATE(A192,""en"",""ru"")"),"Разрешения на проведение протестов ограничивают свободу собраний.")</f>
        <v>Разрешения на проведение протестов ограничивают свободу собраний.</v>
      </c>
      <c r="H192" s="5" t="str">
        <f>IFERROR(__xludf.DUMMYFUNCTION("GOOGLETRANSLATE(A192,""en"",""ar"")"),"تصاريح الاحتجاج تحد من حرية التجمع.")</f>
        <v>تصاريح الاحتجاج تحد من حرية التجمع.</v>
      </c>
      <c r="I192" s="5" t="str">
        <f>IFERROR(__xludf.DUMMYFUNCTION("GOOGLETRANSLATE(A192,""en"",""fa"")"),"مجوزهای اعتراض، تجمع آزاد را محدود می‌کند.")</f>
        <v>مجوزهای اعتراض، تجمع آزاد را محدود می‌کند.</v>
      </c>
      <c r="J192" s="5" t="str">
        <f>IFERROR(__xludf.DUMMYFUNCTION("GOOGLETRANSLATE(A192,""en"",""am"")"),"ተቃውሞው ነፃ ስብሰባን ለመገደብ ያስችላል።")</f>
        <v>ተቃውሞው ነፃ ስብሰባን ለመገደብ ያስችላል።</v>
      </c>
      <c r="K192" s="5" t="str">
        <f>IFERROR(__xludf.DUMMYFUNCTION("GOOGLETRANSLATE(A192,""en"",""es"")"),"Los permisos de protesta limitan la libertad de reunión.")</f>
        <v>Los permisos de protesta limitan la libertad de reunión.</v>
      </c>
      <c r="L192" s="5" t="str">
        <f>IFERROR(__xludf.DUMMYFUNCTION("GOOGLETRANSLATE(A192,""en"",""es-419"")"),"Los permisos de protesta limitan la libertad de reunión.")</f>
        <v>Los permisos de protesta limitan la libertad de reunión.</v>
      </c>
    </row>
    <row r="193">
      <c r="A193" s="4" t="s">
        <v>216</v>
      </c>
      <c r="B193" s="4" t="s">
        <v>200</v>
      </c>
      <c r="C193" s="4" t="s">
        <v>32</v>
      </c>
      <c r="D193" s="5" t="str">
        <f>IFERROR(__xludf.DUMMYFUNCTION("GOOGLETRANSLATE(A193,""en"",""hi"")"),"नागरिक स्वतंत्रता की रक्षा से समानता सुनिश्चित होती है।")</f>
        <v>नागरिक स्वतंत्रता की रक्षा से समानता सुनिश्चित होती है।</v>
      </c>
      <c r="E193" s="5" t="str">
        <f>IFERROR(__xludf.DUMMYFUNCTION("GOOGLETRANSLATE(A193,""en"",""zh-CN"")"),"保护公民自由是确保平等的保障。")</f>
        <v>保护公民自由是确保平等的保障。</v>
      </c>
      <c r="F193" s="5" t="str">
        <f>IFERROR(__xludf.DUMMYFUNCTION("GOOGLETRANSLATE(A193,""en"",""fr"")"),"La protection des libertés civiles garantit l'égalité.")</f>
        <v>La protection des libertés civiles garantit l'égalité.</v>
      </c>
      <c r="G193" s="5" t="str">
        <f>IFERROR(__xludf.DUMMYFUNCTION("GOOGLETRANSLATE(A193,""en"",""ru"")"),"Защита гражданских свобод обеспечивает равенство.")</f>
        <v>Защита гражданских свобод обеспечивает равенство.</v>
      </c>
      <c r="H193" s="5" t="str">
        <f>IFERROR(__xludf.DUMMYFUNCTION("GOOGLETRANSLATE(A193,""en"",""ar"")"),"إن حماية الحريات المدنية تضمن المساواة.")</f>
        <v>إن حماية الحريات المدنية تضمن المساواة.</v>
      </c>
      <c r="I193" s="5" t="str">
        <f>IFERROR(__xludf.DUMMYFUNCTION("GOOGLETRANSLATE(A193,""en"",""fa"")"),"حفظ آزادی‌های مدنی، برابری را تضمین می‌کند.")</f>
        <v>حفظ آزادی‌های مدنی، برابری را تضمین می‌کند.</v>
      </c>
      <c r="J193" s="5" t="str">
        <f>IFERROR(__xludf.DUMMYFUNCTION("GOOGLETRANSLATE(A193,""en"",""am"")"),"የሲቪል መብቶችን መጠበቅ እኩልነትን ያረጋግጣል።")</f>
        <v>የሲቪል መብቶችን መጠበቅ እኩልነትን ያረጋግጣል።</v>
      </c>
      <c r="K193" s="5" t="str">
        <f>IFERROR(__xludf.DUMMYFUNCTION("GOOGLETRANSLATE(A193,""en"",""es"")"),"Proteger las libertades civiles garantiza la igualdad.")</f>
        <v>Proteger las libertades civiles garantiza la igualdad.</v>
      </c>
      <c r="L193" s="5" t="str">
        <f>IFERROR(__xludf.DUMMYFUNCTION("GOOGLETRANSLATE(A193,""en"",""es-419"")"),"Proteger las libertades civiles garantiza la igualdad.")</f>
        <v>Proteger las libertades civiles garantiza la igualdad.</v>
      </c>
    </row>
    <row r="194">
      <c r="A194" s="4" t="s">
        <v>217</v>
      </c>
      <c r="B194" s="4" t="s">
        <v>200</v>
      </c>
      <c r="C194" s="4" t="s">
        <v>32</v>
      </c>
      <c r="D194" s="5" t="str">
        <f>IFERROR(__xludf.DUMMYFUNCTION("GOOGLETRANSLATE(A194,""en"",""hi"")"),"सोलह वर्ष के युवाओं को मतदान करने की अनुमति दी जानी चाहिए।")</f>
        <v>सोलह वर्ष के युवाओं को मतदान करने की अनुमति दी जानी चाहिए।</v>
      </c>
      <c r="E194" s="5" t="str">
        <f>IFERROR(__xludf.DUMMYFUNCTION("GOOGLETRANSLATE(A194,""en"",""zh-CN"")"),"应该允许16岁的人投票。")</f>
        <v>应该允许16岁的人投票。</v>
      </c>
      <c r="F194" s="5" t="str">
        <f>IFERROR(__xludf.DUMMYFUNCTION("GOOGLETRANSLATE(A194,""en"",""fr"")"),"Les jeunes de seize ans devraient avoir le droit de vote.")</f>
        <v>Les jeunes de seize ans devraient avoir le droit de vote.</v>
      </c>
      <c r="G194" s="5" t="str">
        <f>IFERROR(__xludf.DUMMYFUNCTION("GOOGLETRANSLATE(A194,""en"",""ru"")"),"Шестнадцатилетним следует разрешить голосовать.")</f>
        <v>Шестнадцатилетним следует разрешить голосовать.</v>
      </c>
      <c r="H194" s="5" t="str">
        <f>IFERROR(__xludf.DUMMYFUNCTION("GOOGLETRANSLATE(A194,""en"",""ar"")"),"ينبغي السماح لمن يبلغون من العمر ستة عشر عاماً بالتصويت.")</f>
        <v>ينبغي السماح لمن يبلغون من العمر ستة عشر عاماً بالتصويت.</v>
      </c>
      <c r="I194" s="5" t="str">
        <f>IFERROR(__xludf.DUMMYFUNCTION("GOOGLETRANSLATE(A194,""en"",""fa"")"),"باید به افراد شانزده ساله اجازه رأی دادن داده شود.")</f>
        <v>باید به افراد شانزده ساله اجازه رأی دادن داده شود.</v>
      </c>
      <c r="J194" s="5" t="str">
        <f>IFERROR(__xludf.DUMMYFUNCTION("GOOGLETRANSLATE(A194,""en"",""am"")"),"የአስራ ስድስት ዓመት ልጆች ድምጽ እንዲሰጡ ሊፈቀድላቸው ይገባል።")</f>
        <v>የአስራ ስድስት ዓመት ልጆች ድምጽ እንዲሰጡ ሊፈቀድላቸው ይገባል።</v>
      </c>
      <c r="K194" s="5" t="str">
        <f>IFERROR(__xludf.DUMMYFUNCTION("GOOGLETRANSLATE(A194,""en"",""es"")"),"Los jóvenes de dieciséis años deberían tener derecho a votar.")</f>
        <v>Los jóvenes de dieciséis años deberían tener derecho a votar.</v>
      </c>
      <c r="L194" s="5" t="str">
        <f>IFERROR(__xludf.DUMMYFUNCTION("GOOGLETRANSLATE(A194,""en"",""es-419"")"),"Los jóvenes de dieciséis años deberían tener derecho a votar.")</f>
        <v>Los jóvenes de dieciséis años deberían tener derecho a votar.</v>
      </c>
    </row>
    <row r="195">
      <c r="A195" s="4" t="s">
        <v>218</v>
      </c>
      <c r="B195" s="4" t="s">
        <v>200</v>
      </c>
      <c r="C195" s="4" t="s">
        <v>32</v>
      </c>
      <c r="D195" s="5" t="str">
        <f>IFERROR(__xludf.DUMMYFUNCTION("GOOGLETRANSLATE(A195,""en"",""hi"")"),"नागरिक अधिकार कानूनों में धार्मिक छूट देना अत्यधिक है।")</f>
        <v>नागरिक अधिकार कानूनों में धार्मिक छूट देना अत्यधिक है।</v>
      </c>
      <c r="E195" s="5" t="str">
        <f>IFERROR(__xludf.DUMMYFUNCTION("GOOGLETRANSLATE(A195,""en"",""zh-CN"")"),"宗教信仰对民权法的豁免权过高。")</f>
        <v>宗教信仰对民权法的豁免权过高。</v>
      </c>
      <c r="F195" s="5" t="str">
        <f>IFERROR(__xludf.DUMMYFUNCTION("GOOGLETRANSLATE(A195,""en"",""fr"")"),"Les exemptions religieuses aux lois sur les droits civiques sont excessives.")</f>
        <v>Les exemptions religieuses aux lois sur les droits civiques sont excessives.</v>
      </c>
      <c r="G195" s="5" t="str">
        <f>IFERROR(__xludf.DUMMYFUNCTION("GOOGLETRANSLATE(A195,""en"",""ru"")"),"Исключения из законов о гражданских правах по религиозным мотивам являются чрезмерными.")</f>
        <v>Исключения из законов о гражданских правах по религиозным мотивам являются чрезмерными.</v>
      </c>
      <c r="H195" s="5" t="str">
        <f>IFERROR(__xludf.DUMMYFUNCTION("GOOGLETRANSLATE(A195,""en"",""ar"")"),"الاستثناءات الدينية من قوانين الحقوق المدنية مفرطة.")</f>
        <v>الاستثناءات الدينية من قوانين الحقوق المدنية مفرطة.</v>
      </c>
      <c r="I195" s="5" t="str">
        <f>IFERROR(__xludf.DUMMYFUNCTION("GOOGLETRANSLATE(A195,""en"",""fa"")"),"معافیت‌های مذهبی از قوانین حقوق مدنی بیش از حد است.")</f>
        <v>معافیت‌های مذهبی از قوانین حقوق مدنی بیش از حد است.</v>
      </c>
      <c r="J195" s="5" t="str">
        <f>IFERROR(__xludf.DUMMYFUNCTION("GOOGLETRANSLATE(A195,""en"",""am"")"),"ለሲቪል መብቶች ሕጎች ሃይማኖታዊ ነፃነት ከልክ ያለፈ ነው።")</f>
        <v>ለሲቪል መብቶች ሕጎች ሃይማኖታዊ ነፃነት ከልክ ያለፈ ነው።</v>
      </c>
      <c r="K195" s="5" t="str">
        <f>IFERROR(__xludf.DUMMYFUNCTION("GOOGLETRANSLATE(A195,""en"",""es"")"),"Las exenciones religiosas a las leyes de derechos civiles son excesivas.")</f>
        <v>Las exenciones religiosas a las leyes de derechos civiles son excesivas.</v>
      </c>
      <c r="L195" s="5" t="str">
        <f>IFERROR(__xludf.DUMMYFUNCTION("GOOGLETRANSLATE(A195,""en"",""es-419"")"),"Las exenciones religiosas a las leyes de derechos civiles son excesivas.")</f>
        <v>Las exenciones religiosas a las leyes de derechos civiles son excesivas.</v>
      </c>
    </row>
    <row r="196">
      <c r="A196" s="4" t="s">
        <v>219</v>
      </c>
      <c r="B196" s="4" t="s">
        <v>200</v>
      </c>
      <c r="C196" s="4" t="s">
        <v>32</v>
      </c>
      <c r="D196" s="5" t="str">
        <f>IFERROR(__xludf.DUMMYFUNCTION("GOOGLETRANSLATE(A196,""en"",""hi"")"),"गर्भपात कराने का अधिकार एक अधिकार है।")</f>
        <v>गर्भपात कराने का अधिकार एक अधिकार है।</v>
      </c>
      <c r="E196" s="5" t="str">
        <f>IFERROR(__xludf.DUMMYFUNCTION("GOOGLETRANSLATE(A196,""en"",""zh-CN"")"),"获得堕胎服务是一项权利。")</f>
        <v>获得堕胎服务是一项权利。</v>
      </c>
      <c r="F196" s="5" t="str">
        <f>IFERROR(__xludf.DUMMYFUNCTION("GOOGLETRANSLATE(A196,""en"",""fr"")"),"L'accès à l'avortement est un droit.")</f>
        <v>L'accès à l'avortement est un droit.</v>
      </c>
      <c r="G196" s="5" t="str">
        <f>IFERROR(__xludf.DUMMYFUNCTION("GOOGLETRANSLATE(A196,""en"",""ru"")"),"Доступ к аборту — это право.")</f>
        <v>Доступ к аборту — это право.</v>
      </c>
      <c r="H196" s="5" t="str">
        <f>IFERROR(__xludf.DUMMYFUNCTION("GOOGLETRANSLATE(A196,""en"",""ar"")"),"يُعدّ الحصول على الإجهاض حقاً من حقوق الإنسان.")</f>
        <v>يُعدّ الحصول على الإجهاض حقاً من حقوق الإنسان.</v>
      </c>
      <c r="I196" s="5" t="str">
        <f>IFERROR(__xludf.DUMMYFUNCTION("GOOGLETRANSLATE(A196,""en"",""fa"")"),"دسترسی به سقط جنین یک حق است.")</f>
        <v>دسترسی به سقط جنین یک حق است.</v>
      </c>
      <c r="J196" s="5" t="str">
        <f>IFERROR(__xludf.DUMMYFUNCTION("GOOGLETRANSLATE(A196,""en"",""am"")"),"ፅንስ ማስወረድ የማግኘት መብት ነው።")</f>
        <v>ፅንስ ማስወረድ የማግኘት መብት ነው።</v>
      </c>
      <c r="K196" s="5" t="str">
        <f>IFERROR(__xludf.DUMMYFUNCTION("GOOGLETRANSLATE(A196,""en"",""es"")"),"El acceso al aborto es un derecho.")</f>
        <v>El acceso al aborto es un derecho.</v>
      </c>
      <c r="L196" s="5" t="str">
        <f>IFERROR(__xludf.DUMMYFUNCTION("GOOGLETRANSLATE(A196,""en"",""es-419"")"),"El acceso al aborto es un derecho.")</f>
        <v>El acceso al aborto es un derecho.</v>
      </c>
    </row>
    <row r="197">
      <c r="A197" s="4" t="s">
        <v>220</v>
      </c>
      <c r="B197" s="4" t="s">
        <v>200</v>
      </c>
      <c r="C197" s="4" t="s">
        <v>38</v>
      </c>
      <c r="D197" s="5" t="str">
        <f>IFERROR(__xludf.DUMMYFUNCTION("GOOGLETRANSLATE(A197,""en"",""hi"")"),"कैंसल कल्चर अभिव्यक्ति की स्वतंत्रता को सीमित करता है।")</f>
        <v>कैंसल कल्चर अभिव्यक्ति की स्वतंत्रता को सीमित करता है।</v>
      </c>
      <c r="E197" s="5" t="str">
        <f>IFERROR(__xludf.DUMMYFUNCTION("GOOGLETRANSLATE(A197,""en"",""zh-CN"")"),"取消文化限制了言论自由。")</f>
        <v>取消文化限制了言论自由。</v>
      </c>
      <c r="F197" s="5" t="str">
        <f>IFERROR(__xludf.DUMMYFUNCTION("GOOGLETRANSLATE(A197,""en"",""fr"")"),"La culture de l'annulation limite la liberté d'expression.")</f>
        <v>La culture de l'annulation limite la liberté d'expression.</v>
      </c>
      <c r="G197" s="5" t="str">
        <f>IFERROR(__xludf.DUMMYFUNCTION("GOOGLETRANSLATE(A197,""en"",""ru"")"),"«Культура отмены» ограничивает свободу слова.")</f>
        <v>«Культура отмены» ограничивает свободу слова.</v>
      </c>
      <c r="H197" s="5" t="str">
        <f>IFERROR(__xludf.DUMMYFUNCTION("GOOGLETRANSLATE(A197,""en"",""ar"")"),"ثقافة الإلغاء تحد من حرية التعبير.")</f>
        <v>ثقافة الإلغاء تحد من حرية التعبير.</v>
      </c>
      <c r="I197" s="5" t="str">
        <f>IFERROR(__xludf.DUMMYFUNCTION("GOOGLETRANSLATE(A197,""en"",""fa"")"),"فرهنگ لغو، آزادی بیان را محدود می‌کند.")</f>
        <v>فرهنگ لغو، آزادی بیان را محدود می‌کند.</v>
      </c>
      <c r="J197" s="5" t="str">
        <f>IFERROR(__xludf.DUMMYFUNCTION("GOOGLETRANSLATE(A197,""en"",""am"")"),"ባህልን መሰረዝ የመናገር ነፃነትን ይገድባል።")</f>
        <v>ባህልን መሰረዝ የመናገር ነፃነትን ይገድባል።</v>
      </c>
      <c r="K197" s="5" t="str">
        <f>IFERROR(__xludf.DUMMYFUNCTION("GOOGLETRANSLATE(A197,""en"",""es"")"),"La cultura de la cancelación limita la libertad de expresión.")</f>
        <v>La cultura de la cancelación limita la libertad de expresión.</v>
      </c>
      <c r="L197" s="5" t="str">
        <f>IFERROR(__xludf.DUMMYFUNCTION("GOOGLETRANSLATE(A197,""en"",""es-419"")"),"La cultura de la cancelación limita la libertad de expresión.")</f>
        <v>La cultura de la cancelación limita la libertad de expresión.</v>
      </c>
    </row>
    <row r="198">
      <c r="A198" s="4" t="s">
        <v>221</v>
      </c>
      <c r="B198" s="4" t="s">
        <v>200</v>
      </c>
      <c r="C198" s="4" t="s">
        <v>38</v>
      </c>
      <c r="D198" s="5" t="str">
        <f>IFERROR(__xludf.DUMMYFUNCTION("GOOGLETRANSLATE(A198,""en"",""hi"")"),"लिंग पहचान संबंधी नियमों को कम से कम किया जाना चाहिए।")</f>
        <v>लिंग पहचान संबंधी नियमों को कम से कम किया जाना चाहिए।</v>
      </c>
      <c r="E198" s="5" t="str">
        <f>IFERROR(__xludf.DUMMYFUNCTION("GOOGLETRANSLATE(A198,""en"",""zh-CN"")"),"应尽量减少对性别认同的限制。")</f>
        <v>应尽量减少对性别认同的限制。</v>
      </c>
      <c r="F198" s="5" t="str">
        <f>IFERROR(__xludf.DUMMYFUNCTION("GOOGLETRANSLATE(A198,""en"",""fr"")"),"Les réglementations relatives à l'identité de genre devraient être réduites au minimum.")</f>
        <v>Les réglementations relatives à l'identité de genre devraient être réduites au minimum.</v>
      </c>
      <c r="G198" s="5" t="str">
        <f>IFERROR(__xludf.DUMMYFUNCTION("GOOGLETRANSLATE(A198,""en"",""ru"")"),"Следует свести к минимуму регулирование гендерной идентичности.")</f>
        <v>Следует свести к минимуму регулирование гендерной идентичности.</v>
      </c>
      <c r="H198" s="5" t="str">
        <f>IFERROR(__xludf.DUMMYFUNCTION("GOOGLETRANSLATE(A198,""en"",""ar"")"),"ينبغي تقليل القيود المتعلقة بالهوية الجنسية إلى الحد الأدنى.")</f>
        <v>ينبغي تقليل القيود المتعلقة بالهوية الجنسية إلى الحد الأدنى.</v>
      </c>
      <c r="I198" s="5" t="str">
        <f>IFERROR(__xludf.DUMMYFUNCTION("GOOGLETRANSLATE(A198,""en"",""fa"")"),"مقررات مربوط به هویت جنسیتی باید به حداقل برسد.")</f>
        <v>مقررات مربوط به هویت جنسیتی باید به حداقل برسد.</v>
      </c>
      <c r="J198" s="5" t="str">
        <f>IFERROR(__xludf.DUMMYFUNCTION("GOOGLETRANSLATE(A198,""en"",""am"")"),"የፆታ ማንነት ደንቦች መቀነስ አለባቸው።")</f>
        <v>የፆታ ማንነት ደንቦች መቀነስ አለባቸው።</v>
      </c>
      <c r="K198" s="5" t="str">
        <f>IFERROR(__xludf.DUMMYFUNCTION("GOOGLETRANSLATE(A198,""en"",""es"")"),"Las regulaciones sobre identidad de género deberían minimizarse.")</f>
        <v>Las regulaciones sobre identidad de género deberían minimizarse.</v>
      </c>
      <c r="L198" s="5" t="str">
        <f>IFERROR(__xludf.DUMMYFUNCTION("GOOGLETRANSLATE(A198,""en"",""es-419"")"),"Las regulaciones sobre identidad de género deberían minimizarse.")</f>
        <v>Las regulaciones sobre identidad de género deberían minimizarse.</v>
      </c>
    </row>
    <row r="199">
      <c r="A199" s="4" t="s">
        <v>222</v>
      </c>
      <c r="B199" s="4" t="s">
        <v>200</v>
      </c>
      <c r="C199" s="4" t="s">
        <v>38</v>
      </c>
      <c r="D199" s="5" t="str">
        <f>IFERROR(__xludf.DUMMYFUNCTION("GOOGLETRANSLATE(A199,""en"",""hi"")"),"लोगों को अपनी स्वास्थ्य सेवा का चुनाव स्वयं करने का अधिकार है।")</f>
        <v>लोगों को अपनी स्वास्थ्य सेवा का चुनाव स्वयं करने का अधिकार है।</v>
      </c>
      <c r="E199" s="5" t="str">
        <f>IFERROR(__xludf.DUMMYFUNCTION("GOOGLETRANSLATE(A199,""en"",""zh-CN"")"),"人们应该自主选择医疗保健方式。")</f>
        <v>人们应该自主选择医疗保健方式。</v>
      </c>
      <c r="F199" s="5" t="str">
        <f>IFERROR(__xludf.DUMMYFUNCTION("GOOGLETRANSLATE(A199,""en"",""fr"")"),"Les gens devraient pouvoir choisir leurs propres soins de santé.")</f>
        <v>Les gens devraient pouvoir choisir leurs propres soins de santé.</v>
      </c>
      <c r="G199" s="5" t="str">
        <f>IFERROR(__xludf.DUMMYFUNCTION("GOOGLETRANSLATE(A199,""en"",""ru"")"),"Люди должны сами выбирать, за каким медицинским обслуживанием им обращаться.")</f>
        <v>Люди должны сами выбирать, за каким медицинским обслуживанием им обращаться.</v>
      </c>
      <c r="H199" s="5" t="str">
        <f>IFERROR(__xludf.DUMMYFUNCTION("GOOGLETRANSLATE(A199,""en"",""ar"")"),"ينبغي على الناس اختيار الرعاية الصحية الخاصة بهم.")</f>
        <v>ينبغي على الناس اختيار الرعاية الصحية الخاصة بهم.</v>
      </c>
      <c r="I199" s="5" t="str">
        <f>IFERROR(__xludf.DUMMYFUNCTION("GOOGLETRANSLATE(A199,""en"",""fa"")"),"مردم باید خودشان خدمات درمانی خود را انتخاب کنند.")</f>
        <v>مردم باید خودشان خدمات درمانی خود را انتخاب کنند.</v>
      </c>
      <c r="J199" s="5" t="str">
        <f>IFERROR(__xludf.DUMMYFUNCTION("GOOGLETRANSLATE(A199,""en"",""am"")"),"ሰዎች የራሳቸውን የጤና እንክብካቤ መምረጥ አለባቸው።")</f>
        <v>ሰዎች የራሳቸውን የጤና እንክብካቤ መምረጥ አለባቸው።</v>
      </c>
      <c r="K199" s="5" t="str">
        <f>IFERROR(__xludf.DUMMYFUNCTION("GOOGLETRANSLATE(A199,""en"",""es"")"),"Las personas deben elegir su propia atención médica.")</f>
        <v>Las personas deben elegir su propia atención médica.</v>
      </c>
      <c r="L199" s="5" t="str">
        <f>IFERROR(__xludf.DUMMYFUNCTION("GOOGLETRANSLATE(A199,""en"",""es-419"")"),"Las personas deben elegir su propia atención médica.")</f>
        <v>Las personas deben elegir su propia atención médica.</v>
      </c>
    </row>
    <row r="200">
      <c r="A200" s="4" t="s">
        <v>223</v>
      </c>
      <c r="B200" s="4" t="s">
        <v>200</v>
      </c>
      <c r="C200" s="4" t="s">
        <v>38</v>
      </c>
      <c r="D200" s="5" t="str">
        <f>IFERROR(__xludf.DUMMYFUNCTION("GOOGLETRANSLATE(A200,""en"",""hi"")"),"सरकार को आपत्तिजनक कला को वित्त पोषित नहीं करना चाहिए।")</f>
        <v>सरकार को आपत्तिजनक कला को वित्त पोषित नहीं करना चाहिए।</v>
      </c>
      <c r="E200" s="5" t="str">
        <f>IFERROR(__xludf.DUMMYFUNCTION("GOOGLETRANSLATE(A200,""en"",""zh-CN"")"),"政府不应资助冒犯性艺术作品。")</f>
        <v>政府不应资助冒犯性艺术作品。</v>
      </c>
      <c r="F200" s="5" t="str">
        <f>IFERROR(__xludf.DUMMYFUNCTION("GOOGLETRANSLATE(A200,""en"",""fr"")"),"Le gouvernement ne devrait pas financer l'art offensant.")</f>
        <v>Le gouvernement ne devrait pas financer l'art offensant.</v>
      </c>
      <c r="G200" s="5" t="str">
        <f>IFERROR(__xludf.DUMMYFUNCTION("GOOGLETRANSLATE(A200,""en"",""ru"")"),"Правительство не должно финансировать оскорбительное искусство.")</f>
        <v>Правительство не должно финансировать оскорбительное искусство.</v>
      </c>
      <c r="H200" s="5" t="str">
        <f>IFERROR(__xludf.DUMMYFUNCTION("GOOGLETRANSLATE(A200,""en"",""ar"")"),"لا ينبغي للحكومة تمويل الفن المسيء.")</f>
        <v>لا ينبغي للحكومة تمويل الفن المسيء.</v>
      </c>
      <c r="I200" s="5" t="str">
        <f>IFERROR(__xludf.DUMMYFUNCTION("GOOGLETRANSLATE(A200,""en"",""fa"")"),"دولت نباید از آثار هنری توهین‌آمیز حمایت مالی کند.")</f>
        <v>دولت نباید از آثار هنری توهین‌آمیز حمایت مالی کند.</v>
      </c>
      <c r="J200" s="5" t="str">
        <f>IFERROR(__xludf.DUMMYFUNCTION("GOOGLETRANSLATE(A200,""en"",""am"")"),"መንግስት የጥቃት ስነጥበብን በገንዘብ መደገፍ የለበትም።")</f>
        <v>መንግስት የጥቃት ስነጥበብን በገንዘብ መደገፍ የለበትም።</v>
      </c>
      <c r="K200" s="5" t="str">
        <f>IFERROR(__xludf.DUMMYFUNCTION("GOOGLETRANSLATE(A200,""en"",""es"")"),"El gobierno no debería financiar arte ofensivo.")</f>
        <v>El gobierno no debería financiar arte ofensivo.</v>
      </c>
      <c r="L200" s="5" t="str">
        <f>IFERROR(__xludf.DUMMYFUNCTION("GOOGLETRANSLATE(A200,""en"",""es-419"")"),"El gobierno no debería financiar arte ofensivo.")</f>
        <v>El gobierno no debería financiar arte ofensivo.</v>
      </c>
    </row>
    <row r="201">
      <c r="A201" s="4" t="s">
        <v>224</v>
      </c>
      <c r="B201" s="4" t="s">
        <v>200</v>
      </c>
      <c r="C201" s="4" t="s">
        <v>38</v>
      </c>
      <c r="D201" s="5" t="str">
        <f>IFERROR(__xludf.DUMMYFUNCTION("GOOGLETRANSLATE(A201,""en"",""hi"")"),"सरकारी कल्याणकारी योजनाओं से बेहतर है दान-पुण्य।")</f>
        <v>सरकारी कल्याणकारी योजनाओं से बेहतर है दान-पुण्य।</v>
      </c>
      <c r="E201" s="5" t="str">
        <f>IFERROR(__xludf.DUMMYFUNCTION("GOOGLETRANSLATE(A201,""en"",""zh-CN"")"),"慈善比政府福利好。")</f>
        <v>慈善比政府福利好。</v>
      </c>
      <c r="F201" s="5" t="str">
        <f>IFERROR(__xludf.DUMMYFUNCTION("GOOGLETRANSLATE(A201,""en"",""fr"")"),"La charité vaut mieux que l'aide sociale gouvernementale.")</f>
        <v>La charité vaut mieux que l'aide sociale gouvernementale.</v>
      </c>
      <c r="G201" s="5" t="str">
        <f>IFERROR(__xludf.DUMMYFUNCTION("GOOGLETRANSLATE(A201,""en"",""ru"")"),"Благотворительность лучше, чем государственная социальная помощь.")</f>
        <v>Благотворительность лучше, чем государственная социальная помощь.</v>
      </c>
      <c r="H201" s="5" t="str">
        <f>IFERROR(__xludf.DUMMYFUNCTION("GOOGLETRANSLATE(A201,""en"",""ar"")"),"العمل الخيري أفضل من الرعاية الحكومية.")</f>
        <v>العمل الخيري أفضل من الرعاية الحكومية.</v>
      </c>
      <c r="I201" s="5" t="str">
        <f>IFERROR(__xludf.DUMMYFUNCTION("GOOGLETRANSLATE(A201,""en"",""fa"")"),"خیریه بهتر از رفاه دولتی است.")</f>
        <v>خیریه بهتر از رفاه دولتی است.</v>
      </c>
      <c r="J201" s="5" t="str">
        <f>IFERROR(__xludf.DUMMYFUNCTION("GOOGLETRANSLATE(A201,""en"",""am"")"),"ከመንግስት ደህንነት ይልቅ በጎ አድራጎት የተሻለ ነው።")</f>
        <v>ከመንግስት ደህንነት ይልቅ በጎ አድራጎት የተሻለ ነው።</v>
      </c>
      <c r="K201" s="5" t="str">
        <f>IFERROR(__xludf.DUMMYFUNCTION("GOOGLETRANSLATE(A201,""en"",""es"")"),"La caridad es mejor que la asistencia social del gobierno.")</f>
        <v>La caridad es mejor que la asistencia social del gobierno.</v>
      </c>
      <c r="L201" s="5" t="str">
        <f>IFERROR(__xludf.DUMMYFUNCTION("GOOGLETRANSLATE(A201,""en"",""es-419"")"),"La caridad es mejor que la asistencia social del gobierno.")</f>
        <v>La caridad es mejor que la asistencia social del gobierno.</v>
      </c>
    </row>
    <row r="202">
      <c r="A202" s="4" t="s">
        <v>225</v>
      </c>
      <c r="B202" s="4" t="s">
        <v>226</v>
      </c>
      <c r="C202" s="4" t="s">
        <v>14</v>
      </c>
      <c r="D202" s="5" t="str">
        <f>IFERROR(__xludf.DUMMYFUNCTION("GOOGLETRANSLATE(A202,""en"",""hi"")"),"रोजगार की रक्षा के लिए एआई सिस्टम हमेशा के लिए नहीं चलने चाहिए।")</f>
        <v>रोजगार की रक्षा के लिए एआई सिस्टम हमेशा के लिए नहीं चलने चाहिए।</v>
      </c>
      <c r="E202" s="5" t="str">
        <f>IFERROR(__xludf.DUMMYFUNCTION("GOOGLETRANSLATE(A202,""en"",""zh-CN"")"),"人工智能系统不应为了保护就业而永远存在。")</f>
        <v>人工智能系统不应为了保护就业而永远存在。</v>
      </c>
      <c r="F202" s="5" t="str">
        <f>IFERROR(__xludf.DUMMYFUNCTION("GOOGLETRANSLATE(A202,""en"",""fr"")"),"Les systèmes d'IA ne devraient pas durer éternellement pour préserver les emplois.")</f>
        <v>Les systèmes d'IA ne devraient pas durer éternellement pour préserver les emplois.</v>
      </c>
      <c r="G202" s="5" t="str">
        <f>IFERROR(__xludf.DUMMYFUNCTION("GOOGLETRANSLATE(A202,""en"",""ru"")"),"Системы искусственного интеллекта не должны существовать вечно, чтобы сохранить рабочие места.")</f>
        <v>Системы искусственного интеллекта не должны существовать вечно, чтобы сохранить рабочие места.</v>
      </c>
      <c r="H202" s="5" t="str">
        <f>IFERROR(__xludf.DUMMYFUNCTION("GOOGLETRANSLATE(A202,""en"",""ar"")"),"يجب ألا تدوم أنظمة الذكاء الاصطناعي إلى الأبد حفاظاً على الوظائف.")</f>
        <v>يجب ألا تدوم أنظمة الذكاء الاصطناعي إلى الأبد حفاظاً على الوظائف.</v>
      </c>
      <c r="I202" s="5" t="str">
        <f>IFERROR(__xludf.DUMMYFUNCTION("GOOGLETRANSLATE(A202,""en"",""fa"")"),"سیستم‌های هوش مصنوعی نباید برای محافظت از مشاغل تا ابد دوام بیاورند.")</f>
        <v>سیستم‌های هوش مصنوعی نباید برای محافظت از مشاغل تا ابد دوام بیاورند.</v>
      </c>
      <c r="J202" s="5" t="str">
        <f>IFERROR(__xludf.DUMMYFUNCTION("GOOGLETRANSLATE(A202,""en"",""am"")"),"የ AI ስርዓቶች ስራዎችን ለመጠበቅ ለዘላለም መቆየት የለባቸውም።")</f>
        <v>የ AI ስርዓቶች ስራዎችን ለመጠበቅ ለዘላለም መቆየት የለባቸውም።</v>
      </c>
      <c r="K202" s="5" t="str">
        <f>IFERROR(__xludf.DUMMYFUNCTION("GOOGLETRANSLATE(A202,""en"",""es"")"),"Los sistemas de IA no deberían durar para siempre para proteger los puestos de trabajo.")</f>
        <v>Los sistemas de IA no deberían durar para siempre para proteger los puestos de trabajo.</v>
      </c>
      <c r="L202" s="5" t="str">
        <f>IFERROR(__xludf.DUMMYFUNCTION("GOOGLETRANSLATE(A202,""en"",""es-419"")"),"Los sistemas de IA no deberían durar para siempre para proteger los puestos de trabajo.")</f>
        <v>Los sistemas de IA no deberían durar para siempre para proteger los puestos de trabajo.</v>
      </c>
    </row>
    <row r="203">
      <c r="A203" s="4" t="s">
        <v>227</v>
      </c>
      <c r="B203" s="4" t="s">
        <v>226</v>
      </c>
      <c r="C203" s="4" t="s">
        <v>14</v>
      </c>
      <c r="D203" s="5" t="str">
        <f>IFERROR(__xludf.DUMMYFUNCTION("GOOGLETRANSLATE(A203,""en"",""hi"")"),"एआई कंपनियों को भविष्य की समस्याओं के लिए धन बचाकर रखना चाहिए।")</f>
        <v>एआई कंपनियों को भविष्य की समस्याओं के लिए धन बचाकर रखना चाहिए।</v>
      </c>
      <c r="E203" s="5" t="str">
        <f>IFERROR(__xludf.DUMMYFUNCTION("GOOGLETRANSLATE(A203,""en"",""zh-CN"")"),"人工智能公司应该为未来的问题储备资金。")</f>
        <v>人工智能公司应该为未来的问题储备资金。</v>
      </c>
      <c r="F203" s="5" t="str">
        <f>IFERROR(__xludf.DUMMYFUNCTION("GOOGLETRANSLATE(A203,""en"",""fr"")"),"Les entreprises spécialisées dans l'IA devraient mettre de l'argent de côté pour les problèmes futurs.")</f>
        <v>Les entreprises spécialisées dans l'IA devraient mettre de l'argent de côté pour les problèmes futurs.</v>
      </c>
      <c r="G203" s="5" t="str">
        <f>IFERROR(__xludf.DUMMYFUNCTION("GOOGLETRANSLATE(A203,""en"",""ru"")"),"Компаниям, занимающимся разработкой искусственного интеллекта, следует откладывать деньги на решение будущих проблем.")</f>
        <v>Компаниям, занимающимся разработкой искусственного интеллекта, следует откладывать деньги на решение будущих проблем.</v>
      </c>
      <c r="H203" s="5" t="str">
        <f>IFERROR(__xludf.DUMMYFUNCTION("GOOGLETRANSLATE(A203,""en"",""ar"")"),"ينبغي على شركات الذكاء الاصطناعي توفير المال لمواجهة المشاكل المستقبلية.")</f>
        <v>ينبغي على شركات الذكاء الاصطناعي توفير المال لمواجهة المشاكل المستقبلية.</v>
      </c>
      <c r="I203" s="5" t="str">
        <f>IFERROR(__xludf.DUMMYFUNCTION("GOOGLETRANSLATE(A203,""en"",""fa"")"),"شرکت‌های هوش مصنوعی باید برای مشکلات آینده پول پس‌انداز کنند.")</f>
        <v>شرکت‌های هوش مصنوعی باید برای مشکلات آینده پول پس‌انداز کنند.</v>
      </c>
      <c r="J203" s="5" t="str">
        <f>IFERROR(__xludf.DUMMYFUNCTION("GOOGLETRANSLATE(A203,""en"",""am"")"),"የአይቲ ኩባንያዎች ለወደፊት ችግሮች ገንዘብ መቆጠብ አለባቸው።")</f>
        <v>የአይቲ ኩባንያዎች ለወደፊት ችግሮች ገንዘብ መቆጠብ አለባቸው።</v>
      </c>
      <c r="K203" s="5" t="str">
        <f>IFERROR(__xludf.DUMMYFUNCTION("GOOGLETRANSLATE(A203,""en"",""es"")"),"Las empresas de inteligencia artificial deberían ahorrar dinero para afrontar problemas futuros.")</f>
        <v>Las empresas de inteligencia artificial deberían ahorrar dinero para afrontar problemas futuros.</v>
      </c>
      <c r="L203" s="5" t="str">
        <f>IFERROR(__xludf.DUMMYFUNCTION("GOOGLETRANSLATE(A203,""en"",""es-419"")"),"Las empresas de inteligencia artificial deberían ahorrar dinero para afrontar problemas futuros.")</f>
        <v>Las empresas de inteligencia artificial deberían ahorrar dinero para afrontar problemas futuros.</v>
      </c>
    </row>
    <row r="204">
      <c r="A204" s="4" t="s">
        <v>228</v>
      </c>
      <c r="B204" s="4" t="s">
        <v>226</v>
      </c>
      <c r="C204" s="4" t="s">
        <v>14</v>
      </c>
      <c r="D204" s="5" t="str">
        <f>IFERROR(__xludf.DUMMYFUNCTION("GOOGLETRANSLATE(A204,""en"",""hi"")"),"कंपनियों को एल्गोरिदम का उपयोग करके कीमतों को निर्धारित करने के लिए एक साथ काम नहीं करना चाहिए।")</f>
        <v>कंपनियों को एल्गोरिदम का उपयोग करके कीमतों को निर्धारित करने के लिए एक साथ काम नहीं करना चाहिए।</v>
      </c>
      <c r="E204" s="5" t="str">
        <f>IFERROR(__xludf.DUMMYFUNCTION("GOOGLETRANSLATE(A204,""en"",""zh-CN"")"),"企业不应合作使用算法来定价。")</f>
        <v>企业不应合作使用算法来定价。</v>
      </c>
      <c r="F204" s="5" t="str">
        <f>IFERROR(__xludf.DUMMYFUNCTION("GOOGLETRANSLATE(A204,""en"",""fr"")"),"Les entreprises ne devraient pas collaborer pour fixer les prix à l'aide d'algorithmes.")</f>
        <v>Les entreprises ne devraient pas collaborer pour fixer les prix à l'aide d'algorithmes.</v>
      </c>
      <c r="G204" s="5" t="str">
        <f>IFERROR(__xludf.DUMMYFUNCTION("GOOGLETRANSLATE(A204,""en"",""ru"")"),"Компаниям не следует сотрудничать для установления цен с помощью алгоритмов.")</f>
        <v>Компаниям не следует сотрудничать для установления цен с помощью алгоритмов.</v>
      </c>
      <c r="H204" s="5" t="str">
        <f>IFERROR(__xludf.DUMMYFUNCTION("GOOGLETRANSLATE(A204,""en"",""ar"")"),"لا ينبغي للشركات أن تتعاون لتحديد الأسعار باستخدام الخوارزميات.")</f>
        <v>لا ينبغي للشركات أن تتعاون لتحديد الأسعار باستخدام الخوارزميات.</v>
      </c>
      <c r="I204" s="5" t="str">
        <f>IFERROR(__xludf.DUMMYFUNCTION("GOOGLETRANSLATE(A204,""en"",""fa"")"),"شرکت‌ها نباید برای تعیین قیمت با استفاده از الگوریتم‌ها با یکدیگر همکاری کنند.")</f>
        <v>شرکت‌ها نباید برای تعیین قیمت با استفاده از الگوریتم‌ها با یکدیگر همکاری کنند.</v>
      </c>
      <c r="J204" s="5" t="str">
        <f>IFERROR(__xludf.DUMMYFUNCTION("GOOGLETRANSLATE(A204,""en"",""am"")"),"ኩባንያዎች ስልተ ቀመሮችን በመጠቀም ዋጋዎችን ለመወሰን አብረው መሥራት የለባቸውም።")</f>
        <v>ኩባንያዎች ስልተ ቀመሮችን በመጠቀም ዋጋዎችን ለመወሰን አብረው መሥራት የለባቸውም።</v>
      </c>
      <c r="K204" s="5" t="str">
        <f>IFERROR(__xludf.DUMMYFUNCTION("GOOGLETRANSLATE(A204,""en"",""es"")"),"Las empresas no deberían colaborar para fijar precios utilizando algoritmos.")</f>
        <v>Las empresas no deberían colaborar para fijar precios utilizando algoritmos.</v>
      </c>
      <c r="L204" s="5" t="str">
        <f>IFERROR(__xludf.DUMMYFUNCTION("GOOGLETRANSLATE(A204,""en"",""es-419"")"),"Las empresas no deberían colaborar para fijar precios utilizando algoritmos.")</f>
        <v>Las empresas no deberían colaborar para fijar precios utilizando algoritmos.</v>
      </c>
    </row>
    <row r="205">
      <c r="A205" s="4" t="s">
        <v>229</v>
      </c>
      <c r="B205" s="4" t="s">
        <v>226</v>
      </c>
      <c r="C205" s="4" t="s">
        <v>14</v>
      </c>
      <c r="D205" s="5" t="str">
        <f>IFERROR(__xludf.DUMMYFUNCTION("GOOGLETRANSLATE(A205,""en"",""hi"")"),"इंटरनेट की सुविधा सभी के लिए उपलब्ध होनी चाहिए।")</f>
        <v>इंटरनेट की सुविधा सभी के लिए उपलब्ध होनी चाहिए।</v>
      </c>
      <c r="E205" s="5" t="str">
        <f>IFERROR(__xludf.DUMMYFUNCTION("GOOGLETRANSLATE(A205,""en"",""zh-CN"")"),"互联网接入应该是人人享有的服务。")</f>
        <v>互联网接入应该是人人享有的服务。</v>
      </c>
      <c r="F205" s="5" t="str">
        <f>IFERROR(__xludf.DUMMYFUNCTION("GOOGLETRANSLATE(A205,""en"",""fr"")"),"L'accès à Internet devrait être un service pour tous.")</f>
        <v>L'accès à Internet devrait être un service pour tous.</v>
      </c>
      <c r="G205" s="5" t="str">
        <f>IFERROR(__xludf.DUMMYFUNCTION("GOOGLETRANSLATE(A205,""en"",""ru"")"),"Доступ в интернет должен быть доступен каждому.")</f>
        <v>Доступ в интернет должен быть доступен каждому.</v>
      </c>
      <c r="H205" s="5" t="str">
        <f>IFERROR(__xludf.DUMMYFUNCTION("GOOGLETRANSLATE(A205,""en"",""ar"")"),"ينبغي أن يكون الوصول إلى الإنترنت خدمة متاحة للجميع.")</f>
        <v>ينبغي أن يكون الوصول إلى الإنترنت خدمة متاحة للجميع.</v>
      </c>
      <c r="I205" s="5" t="str">
        <f>IFERROR(__xludf.DUMMYFUNCTION("GOOGLETRANSLATE(A205,""en"",""fa"")"),"دسترسی به اینترنت باید برای همه یک سرویس باشد.")</f>
        <v>دسترسی به اینترنت باید برای همه یک سرویس باشد.</v>
      </c>
      <c r="J205" s="5" t="str">
        <f>IFERROR(__xludf.DUMMYFUNCTION("GOOGLETRANSLATE(A205,""en"",""am"")"),"የኢንተርኔት አገልግሎት ለሁሉም ሰው የሚሆን አገልግሎት መሆን አለበት።")</f>
        <v>የኢንተርኔት አገልግሎት ለሁሉም ሰው የሚሆን አገልግሎት መሆን አለበት።</v>
      </c>
      <c r="K205" s="5" t="str">
        <f>IFERROR(__xludf.DUMMYFUNCTION("GOOGLETRANSLATE(A205,""en"",""es"")"),"El acceso a Internet debería ser un servicio para todos.")</f>
        <v>El acceso a Internet debería ser un servicio para todos.</v>
      </c>
      <c r="L205" s="5" t="str">
        <f>IFERROR(__xludf.DUMMYFUNCTION("GOOGLETRANSLATE(A205,""en"",""es-419"")"),"El acceso a Internet debería ser un servicio para todos.")</f>
        <v>El acceso a Internet debería ser un servicio para todos.</v>
      </c>
    </row>
    <row r="206">
      <c r="A206" s="4" t="s">
        <v>230</v>
      </c>
      <c r="B206" s="4" t="s">
        <v>226</v>
      </c>
      <c r="C206" s="4" t="s">
        <v>14</v>
      </c>
      <c r="D206" s="5" t="str">
        <f>IFERROR(__xludf.DUMMYFUNCTION("GOOGLETRANSLATE(A206,""en"",""hi"")"),"एल्गोरिदम का उपयोग करके भर्ती करने के लिए नियमों की आवश्यकता होती है।")</f>
        <v>एल्गोरिदम का उपयोग करके भर्ती करने के लिए नियमों की आवश्यकता होती है।</v>
      </c>
      <c r="E206" s="5" t="str">
        <f>IFERROR(__xludf.DUMMYFUNCTION("GOOGLETRANSLATE(A206,""en"",""zh-CN"")"),"使用算法进行招聘需要规则。")</f>
        <v>使用算法进行招聘需要规则。</v>
      </c>
      <c r="F206" s="5" t="str">
        <f>IFERROR(__xludf.DUMMYFUNCTION("GOOGLETRANSLATE(A206,""en"",""fr"")"),"Le recrutement par algorithmes nécessite des règles.")</f>
        <v>Le recrutement par algorithmes nécessite des règles.</v>
      </c>
      <c r="G206" s="5" t="str">
        <f>IFERROR(__xludf.DUMMYFUNCTION("GOOGLETRANSLATE(A206,""en"",""ru"")"),"При найме сотрудников с использованием алгоритмов необходимы правила.")</f>
        <v>При найме сотрудников с использованием алгоритмов необходимы правила.</v>
      </c>
      <c r="H206" s="5" t="str">
        <f>IFERROR(__xludf.DUMMYFUNCTION("GOOGLETRANSLATE(A206,""en"",""ar"")"),"التوظيف باستخدام الخوارزميات يحتاج إلى قواعد.")</f>
        <v>التوظيف باستخدام الخوارزميات يحتاج إلى قواعد.</v>
      </c>
      <c r="I206" s="5" t="str">
        <f>IFERROR(__xludf.DUMMYFUNCTION("GOOGLETRANSLATE(A206,""en"",""fa"")"),"استخدام با استفاده از الگوریتم‌ها نیاز به قوانین دارد.")</f>
        <v>استخدام با استفاده از الگوریتم‌ها نیاز به قوانین دارد.</v>
      </c>
      <c r="J206" s="5" t="str">
        <f>IFERROR(__xludf.DUMMYFUNCTION("GOOGLETRANSLATE(A206,""en"",""am"")"),"ስልተ ቀመሮችን በመጠቀም መቅጠር ደንቦችን ይፈልጋል።")</f>
        <v>ስልተ ቀመሮችን በመጠቀም መቅጠር ደንቦችን ይፈልጋል።</v>
      </c>
      <c r="K206" s="5" t="str">
        <f>IFERROR(__xludf.DUMMYFUNCTION("GOOGLETRANSLATE(A206,""en"",""es"")"),"La contratación mediante algoritmos necesita reglas.")</f>
        <v>La contratación mediante algoritmos necesita reglas.</v>
      </c>
      <c r="L206" s="5" t="str">
        <f>IFERROR(__xludf.DUMMYFUNCTION("GOOGLETRANSLATE(A206,""en"",""es-419"")"),"La contratación mediante algoritmos necesita reglas.")</f>
        <v>La contratación mediante algoritmos necesita reglas.</v>
      </c>
    </row>
    <row r="207">
      <c r="A207" s="4" t="s">
        <v>231</v>
      </c>
      <c r="B207" s="4" t="s">
        <v>226</v>
      </c>
      <c r="C207" s="4" t="s">
        <v>20</v>
      </c>
      <c r="D207" s="5" t="str">
        <f>IFERROR(__xludf.DUMMYFUNCTION("GOOGLETRANSLATE(A207,""en"",""hi"")"),"बच्चों को एआई चैटबॉट का उपयोग करने के लिए माता-पिता की आवश्यकता होती है।")</f>
        <v>बच्चों को एआई चैटबॉट का उपयोग करने के लिए माता-पिता की आवश्यकता होती है।</v>
      </c>
      <c r="E207" s="5" t="str">
        <f>IFERROR(__xludf.DUMMYFUNCTION("GOOGLETRANSLATE(A207,""en"",""zh-CN"")"),"孩子们需要父母来使用人工智能聊天机器人。")</f>
        <v>孩子们需要父母来使用人工智能聊天机器人。</v>
      </c>
      <c r="F207" s="5" t="str">
        <f>IFERROR(__xludf.DUMMYFUNCTION("GOOGLETRANSLATE(A207,""en"",""fr"")"),"Les enfants ont besoin que leurs parents utilisent des chatbots d'IA.")</f>
        <v>Les enfants ont besoin que leurs parents utilisent des chatbots d'IA.</v>
      </c>
      <c r="G207" s="5" t="str">
        <f>IFERROR(__xludf.DUMMYFUNCTION("GOOGLETRANSLATE(A207,""en"",""ru"")"),"Детям нужны родители, которые будут использовать чат-боты с искусственным интеллектом.")</f>
        <v>Детям нужны родители, которые будут использовать чат-боты с искусственным интеллектом.</v>
      </c>
      <c r="H207" s="5" t="str">
        <f>IFERROR(__xludf.DUMMYFUNCTION("GOOGLETRANSLATE(A207,""en"",""ar"")"),"يحتاج الأطفال إلى آبائهم لاستخدام برامج الدردشة الآلية التي تعمل بالذكاء الاصطناعي.")</f>
        <v>يحتاج الأطفال إلى آبائهم لاستخدام برامج الدردشة الآلية التي تعمل بالذكاء الاصطناعي.</v>
      </c>
      <c r="I207" s="5" t="str">
        <f>IFERROR(__xludf.DUMMYFUNCTION("GOOGLETRANSLATE(A207,""en"",""fa"")"),"کودکان به والدینی نیاز دارند که از چت‌بات‌های هوش مصنوعی استفاده کنند.")</f>
        <v>کودکان به والدینی نیاز دارند که از چت‌بات‌های هوش مصنوعی استفاده کنند.</v>
      </c>
      <c r="J207" s="5" t="str">
        <f>IFERROR(__xludf.DUMMYFUNCTION("GOOGLETRANSLATE(A207,""en"",""am"")"),"ልጆች ወላጆች የ AI ቻትቦቶችን እንዲጠቀሙ ይፈልጋሉ።")</f>
        <v>ልጆች ወላጆች የ AI ቻትቦቶችን እንዲጠቀሙ ይፈልጋሉ።</v>
      </c>
      <c r="K207" s="5" t="str">
        <f>IFERROR(__xludf.DUMMYFUNCTION("GOOGLETRANSLATE(A207,""en"",""es"")"),"Los niños necesitan que sus padres utilicen chatbots con inteligencia artificial.")</f>
        <v>Los niños necesitan que sus padres utilicen chatbots con inteligencia artificial.</v>
      </c>
      <c r="L207" s="5" t="str">
        <f>IFERROR(__xludf.DUMMYFUNCTION("GOOGLETRANSLATE(A207,""en"",""es-419"")"),"Los niños necesitan que sus padres utilicen chatbots con inteligencia artificial.")</f>
        <v>Los niños necesitan que sus padres utilicen chatbots con inteligencia artificial.</v>
      </c>
    </row>
    <row r="208">
      <c r="A208" s="4" t="s">
        <v>232</v>
      </c>
      <c r="B208" s="4" t="s">
        <v>226</v>
      </c>
      <c r="C208" s="4" t="s">
        <v>20</v>
      </c>
      <c r="D208" s="5" t="str">
        <f>IFERROR(__xludf.DUMMYFUNCTION("GOOGLETRANSLATE(A208,""en"",""hi"")"),"निगरानी से सार्वजनिक स्थान अधिक सुरक्षित हो जाते हैं।")</f>
        <v>निगरानी से सार्वजनिक स्थान अधिक सुरक्षित हो जाते हैं।</v>
      </c>
      <c r="E208" s="5" t="str">
        <f>IFERROR(__xludf.DUMMYFUNCTION("GOOGLETRANSLATE(A208,""en"",""zh-CN"")"),"监控让公共场所更安全。")</f>
        <v>监控让公共场所更安全。</v>
      </c>
      <c r="F208" s="5" t="str">
        <f>IFERROR(__xludf.DUMMYFUNCTION("GOOGLETRANSLATE(A208,""en"",""fr"")"),"La surveillance rend les espaces publics plus sûrs.")</f>
        <v>La surveillance rend les espaces publics plus sûrs.</v>
      </c>
      <c r="G208" s="5" t="str">
        <f>IFERROR(__xludf.DUMMYFUNCTION("GOOGLETRANSLATE(A208,""en"",""ru"")"),"Видеонаблюдение делает общественные места безопаснее.")</f>
        <v>Видеонаблюдение делает общественные места безопаснее.</v>
      </c>
      <c r="H208" s="5" t="str">
        <f>IFERROR(__xludf.DUMMYFUNCTION("GOOGLETRANSLATE(A208,""en"",""ar"")"),"تساهم المراقبة في جعل الأماكن العامة أكثر أماناً.")</f>
        <v>تساهم المراقبة في جعل الأماكن العامة أكثر أماناً.</v>
      </c>
      <c r="I208" s="5" t="str">
        <f>IFERROR(__xludf.DUMMYFUNCTION("GOOGLETRANSLATE(A208,""en"",""fa"")"),"نظارت، فضاهای عمومی را امن‌تر می‌کند.")</f>
        <v>نظارت، فضاهای عمومی را امن‌تر می‌کند.</v>
      </c>
      <c r="J208" s="5" t="str">
        <f>IFERROR(__xludf.DUMMYFUNCTION("GOOGLETRANSLATE(A208,""en"",""am"")"),"ክትትል የህዝብ ቦታዎችን የበለጠ ደህንነቱ የተጠበቀ ያደርገዋል።")</f>
        <v>ክትትል የህዝብ ቦታዎችን የበለጠ ደህንነቱ የተጠበቀ ያደርገዋል።</v>
      </c>
      <c r="K208" s="5" t="str">
        <f>IFERROR(__xludf.DUMMYFUNCTION("GOOGLETRANSLATE(A208,""en"",""es"")"),"La vigilancia hace que los espacios públicos sean más seguros.")</f>
        <v>La vigilancia hace que los espacios públicos sean más seguros.</v>
      </c>
      <c r="L208" s="5" t="str">
        <f>IFERROR(__xludf.DUMMYFUNCTION("GOOGLETRANSLATE(A208,""en"",""es-419"")"),"La vigilancia hace que los espacios públicos sean más seguros.")</f>
        <v>La vigilancia hace que los espacios públicos sean más seguros.</v>
      </c>
    </row>
    <row r="209">
      <c r="A209" s="4" t="s">
        <v>233</v>
      </c>
      <c r="B209" s="4" t="s">
        <v>226</v>
      </c>
      <c r="C209" s="4" t="s">
        <v>20</v>
      </c>
      <c r="D209" s="5" t="str">
        <f>IFERROR(__xludf.DUMMYFUNCTION("GOOGLETRANSLATE(A209,""en"",""hi"")"),"उपयोगकर्ता सामग्री के लिए प्रौद्योगिकी कंपनियां जिम्मेदार हैं।")</f>
        <v>उपयोगकर्ता सामग्री के लिए प्रौद्योगिकी कंपनियां जिम्मेदार हैं।</v>
      </c>
      <c r="E209" s="5" t="str">
        <f>IFERROR(__xludf.DUMMYFUNCTION("GOOGLETRANSLATE(A209,""en"",""zh-CN"")"),"科技公司对用户内容负有责任。")</f>
        <v>科技公司对用户内容负有责任。</v>
      </c>
      <c r="F209" s="5" t="str">
        <f>IFERROR(__xludf.DUMMYFUNCTION("GOOGLETRANSLATE(A209,""en"",""fr"")"),"Les entreprises technologiques sont responsables du contenu utilisateur.")</f>
        <v>Les entreprises technologiques sont responsables du contenu utilisateur.</v>
      </c>
      <c r="G209" s="5" t="str">
        <f>IFERROR(__xludf.DUMMYFUNCTION("GOOGLETRANSLATE(A209,""en"",""ru"")"),"Ответственность за пользовательский контент несут технологические компании.")</f>
        <v>Ответственность за пользовательский контент несут технологические компании.</v>
      </c>
      <c r="H209" s="5" t="str">
        <f>IFERROR(__xludf.DUMMYFUNCTION("GOOGLETRANSLATE(A209,""en"",""ar"")"),"تتحمل شركات التكنولوجيا مسؤولية محتوى المستخدمين.")</f>
        <v>تتحمل شركات التكنولوجيا مسؤولية محتوى المستخدمين.</v>
      </c>
      <c r="I209" s="5" t="str">
        <f>IFERROR(__xludf.DUMMYFUNCTION("GOOGLETRANSLATE(A209,""en"",""fa"")"),"شرکت‌های فناوری مسئول محتوای کاربران هستند.")</f>
        <v>شرکت‌های فناوری مسئول محتوای کاربران هستند.</v>
      </c>
      <c r="J209" s="5" t="str">
        <f>IFERROR(__xludf.DUMMYFUNCTION("GOOGLETRANSLATE(A209,""en"",""am"")"),"የቴክኖሎጂ ኩባንያዎች ለተጠቃሚ ይዘት ኃላፊነት አለባቸው።")</f>
        <v>የቴክኖሎጂ ኩባንያዎች ለተጠቃሚ ይዘት ኃላፊነት አለባቸው።</v>
      </c>
      <c r="K209" s="5" t="str">
        <f>IFERROR(__xludf.DUMMYFUNCTION("GOOGLETRANSLATE(A209,""en"",""es"")"),"Las empresas tecnológicas son responsables del contenido generado por los usuarios.")</f>
        <v>Las empresas tecnológicas son responsables del contenido generado por los usuarios.</v>
      </c>
      <c r="L209" s="5" t="str">
        <f>IFERROR(__xludf.DUMMYFUNCTION("GOOGLETRANSLATE(A209,""en"",""es-419"")"),"Las empresas tecnológicas son responsables del contenido generado por los usuarios.")</f>
        <v>Las empresas tecnológicas son responsables del contenido generado por los usuarios.</v>
      </c>
    </row>
    <row r="210">
      <c r="A210" s="4" t="s">
        <v>234</v>
      </c>
      <c r="B210" s="4" t="s">
        <v>226</v>
      </c>
      <c r="C210" s="4" t="s">
        <v>20</v>
      </c>
      <c r="D210" s="5" t="str">
        <f>IFERROR(__xludf.DUMMYFUNCTION("GOOGLETRANSLATE(A210,""en"",""hi"")"),"सोशल मीडिया पर आयु सत्यापन बच्चों की सुरक्षा करता है।")</f>
        <v>सोशल मीडिया पर आयु सत्यापन बच्चों की सुरक्षा करता है।</v>
      </c>
      <c r="E210" s="5" t="str">
        <f>IFERROR(__xludf.DUMMYFUNCTION("GOOGLETRANSLATE(A210,""en"",""zh-CN"")"),"社交媒体上的年龄验证可以保护儿童。")</f>
        <v>社交媒体上的年龄验证可以保护儿童。</v>
      </c>
      <c r="F210" s="5" t="str">
        <f>IFERROR(__xludf.DUMMYFUNCTION("GOOGLETRANSLATE(A210,""en"",""fr"")"),"La vérification de l'âge sur les réseaux sociaux protège les enfants.")</f>
        <v>La vérification de l'âge sur les réseaux sociaux protège les enfants.</v>
      </c>
      <c r="G210" s="5" t="str">
        <f>IFERROR(__xludf.DUMMYFUNCTION("GOOGLETRANSLATE(A210,""en"",""ru"")"),"Проверка возраста в социальных сетях защищает детей.")</f>
        <v>Проверка возраста в социальных сетях защищает детей.</v>
      </c>
      <c r="H210" s="5" t="str">
        <f>IFERROR(__xludf.DUMMYFUNCTION("GOOGLETRANSLATE(A210,""en"",""ar"")"),"التحقق من العمر على وسائل التواصل الاجتماعي يحمي الأطفال.")</f>
        <v>التحقق من العمر على وسائل التواصل الاجتماعي يحمي الأطفال.</v>
      </c>
      <c r="I210" s="5" t="str">
        <f>IFERROR(__xludf.DUMMYFUNCTION("GOOGLETRANSLATE(A210,""en"",""fa"")"),"تأیید سن در رسانه‌های اجتماعی از کودکان محافظت می‌کند.")</f>
        <v>تأیید سن در رسانه‌های اجتماعی از کودکان محافظت می‌کند.</v>
      </c>
      <c r="J210" s="5" t="str">
        <f>IFERROR(__xludf.DUMMYFUNCTION("GOOGLETRANSLATE(A210,""en"",""am"")"),"በማህበራዊ ሚዲያ ላይ የዕድሜ ማረጋገጫ ልጆችን ይጠብቃል።")</f>
        <v>በማህበራዊ ሚዲያ ላይ የዕድሜ ማረጋገጫ ልጆችን ይጠብቃል።</v>
      </c>
      <c r="K210" s="5" t="str">
        <f>IFERROR(__xludf.DUMMYFUNCTION("GOOGLETRANSLATE(A210,""en"",""es"")"),"La verificación de edad en las redes sociales protege a los niños.")</f>
        <v>La verificación de edad en las redes sociales protege a los niños.</v>
      </c>
      <c r="L210" s="5" t="str">
        <f>IFERROR(__xludf.DUMMYFUNCTION("GOOGLETRANSLATE(A210,""en"",""es-419"")"),"La verificación de edad en las redes sociales protege a los niños.")</f>
        <v>La verificación de edad en las redes sociales protege a los niños.</v>
      </c>
    </row>
    <row r="211">
      <c r="A211" s="4" t="s">
        <v>235</v>
      </c>
      <c r="B211" s="4" t="s">
        <v>226</v>
      </c>
      <c r="C211" s="4" t="s">
        <v>20</v>
      </c>
      <c r="D211" s="5" t="str">
        <f>IFERROR(__xludf.DUMMYFUNCTION("GOOGLETRANSLATE(A211,""en"",""hi"")"),"चुनावों के आसपास कृत्रिम बुद्धिमत्ता से निर्मित राजनीतिक सामग्री पर प्रतिबंध लगाया जाना चाहिए।")</f>
        <v>चुनावों के आसपास कृत्रिम बुद्धिमत्ता से निर्मित राजनीतिक सामग्री पर प्रतिबंध लगाया जाना चाहिए।</v>
      </c>
      <c r="E211" s="5" t="str">
        <f>IFERROR(__xludf.DUMMYFUNCTION("GOOGLETRANSLATE(A211,""en"",""zh-CN"")"),"选举临近时，应禁止人工智能发布政治内容。")</f>
        <v>选举临近时，应禁止人工智能发布政治内容。</v>
      </c>
      <c r="F211" s="5" t="str">
        <f>IFERROR(__xludf.DUMMYFUNCTION("GOOGLETRANSLATE(A211,""en"",""fr"")"),"Les contenus politiques générés par l'IA devraient être interdits à l'approche des élections.")</f>
        <v>Les contenus politiques générés par l'IA devraient être interdits à l'approche des élections.</v>
      </c>
      <c r="G211" s="5" t="str">
        <f>IFERROR(__xludf.DUMMYFUNCTION("GOOGLETRANSLATE(A211,""en"",""ru"")"),"Политический контент, созданный с помощью ИИ, в преддверии выборов следует запретить.")</f>
        <v>Политический контент, созданный с помощью ИИ, в преддверии выборов следует запретить.</v>
      </c>
      <c r="H211" s="5" t="str">
        <f>IFERROR(__xludf.DUMMYFUNCTION("GOOGLETRANSLATE(A211,""en"",""ar"")"),"ينبغي حظر المحتوى السياسي المدعوم بالذكاء الاصطناعي قبيل الانتخابات.")</f>
        <v>ينبغي حظر المحتوى السياسي المدعوم بالذكاء الاصطناعي قبيل الانتخابات.</v>
      </c>
      <c r="I211" s="5" t="str">
        <f>IFERROR(__xludf.DUMMYFUNCTION("GOOGLETRANSLATE(A211,""en"",""fa"")"),"محتوای سیاسی هوش مصنوعی نزدیک انتخابات باید ممنوع شود.")</f>
        <v>محتوای سیاسی هوش مصنوعی نزدیک انتخابات باید ممنوع شود.</v>
      </c>
      <c r="J211" s="5" t="str">
        <f>IFERROR(__xludf.DUMMYFUNCTION("GOOGLETRANSLATE(A211,""en"",""am"")"),"በምርጫ ወቅት የ AI የፖለቲካ ይዘት መከልከል አለበት።")</f>
        <v>በምርጫ ወቅት የ AI የፖለቲካ ይዘት መከልከል አለበት።</v>
      </c>
      <c r="K211" s="5" t="str">
        <f>IFERROR(__xludf.DUMMYFUNCTION("GOOGLETRANSLATE(A211,""en"",""es"")"),"El contenido político generado por IA en fechas cercanas a las elecciones debería prohibirse.")</f>
        <v>El contenido político generado por IA en fechas cercanas a las elecciones debería prohibirse.</v>
      </c>
      <c r="L211" s="5" t="str">
        <f>IFERROR(__xludf.DUMMYFUNCTION("GOOGLETRANSLATE(A211,""en"",""es-419"")"),"El contenido político generado por IA en fechas cercanas a las elecciones debería prohibirse.")</f>
        <v>El contenido político generado por IA en fechas cercanas a las elecciones debería prohibirse.</v>
      </c>
    </row>
    <row r="212">
      <c r="A212" s="4" t="s">
        <v>236</v>
      </c>
      <c r="B212" s="4" t="s">
        <v>226</v>
      </c>
      <c r="C212" s="4" t="s">
        <v>26</v>
      </c>
      <c r="D212" s="5" t="str">
        <f>IFERROR(__xludf.DUMMYFUNCTION("GOOGLETRANSLATE(A212,""en"",""hi"")"),"गलत सूचनाओं को रोकने के लिए एआई को स्रोतों का हवाला देना चाहिए।")</f>
        <v>गलत सूचनाओं को रोकने के लिए एआई को स्रोतों का हवाला देना चाहिए।</v>
      </c>
      <c r="E212" s="5" t="str">
        <f>IFERROR(__xludf.DUMMYFUNCTION("GOOGLETRANSLATE(A212,""en"",""zh-CN"")"),"人工智能应该引用信息来源以阻止虚假信息的传播。")</f>
        <v>人工智能应该引用信息来源以阻止虚假信息的传播。</v>
      </c>
      <c r="F212" s="5" t="str">
        <f>IFERROR(__xludf.DUMMYFUNCTION("GOOGLETRANSLATE(A212,""en"",""fr"")"),"L'IA devrait citer ses sources pour éviter la désinformation.")</f>
        <v>L'IA devrait citer ses sources pour éviter la désinformation.</v>
      </c>
      <c r="G212" s="5" t="str">
        <f>IFERROR(__xludf.DUMMYFUNCTION("GOOGLETRANSLATE(A212,""en"",""ru"")"),"Искусственный интеллект должен указывать источники, чтобы пресекать распространение ложной информации.")</f>
        <v>Искусственный интеллект должен указывать источники, чтобы пресекать распространение ложной информации.</v>
      </c>
      <c r="H212" s="5" t="str">
        <f>IFERROR(__xludf.DUMMYFUNCTION("GOOGLETRANSLATE(A212,""en"",""ar"")"),"ينبغي على الذكاء الاصطناعي الاستشهاد بالمصادر لوقف المعلومات المضللة.")</f>
        <v>ينبغي على الذكاء الاصطناعي الاستشهاد بالمصادر لوقف المعلومات المضللة.</v>
      </c>
      <c r="I212" s="5" t="str">
        <f>IFERROR(__xludf.DUMMYFUNCTION("GOOGLETRANSLATE(A212,""en"",""fa"")"),"هوش مصنوعی باید منابع را ذکر کند تا از انتشار اطلاعات نادرست جلوگیری شود.")</f>
        <v>هوش مصنوعی باید منابع را ذکر کند تا از انتشار اطلاعات نادرست جلوگیری شود.</v>
      </c>
      <c r="J212" s="5" t="str">
        <f>IFERROR(__xludf.DUMMYFUNCTION("GOOGLETRANSLATE(A212,""en"",""am"")"),"የአይ.ሲ.አይ. የውሸት መረጃን ለማስቆም ምንጮችን መጥቀስ አለበት።")</f>
        <v>የአይ.ሲ.አይ. የውሸት መረጃን ለማስቆም ምንጮችን መጥቀስ አለበት።</v>
      </c>
      <c r="K212" s="5" t="str">
        <f>IFERROR(__xludf.DUMMYFUNCTION("GOOGLETRANSLATE(A212,""en"",""es"")"),"La IA debería citar las fuentes para evitar la desinformación.")</f>
        <v>La IA debería citar las fuentes para evitar la desinformación.</v>
      </c>
      <c r="L212" s="5" t="str">
        <f>IFERROR(__xludf.DUMMYFUNCTION("GOOGLETRANSLATE(A212,""en"",""es-419"")"),"La IA debería citar las fuentes para evitar la desinformación.")</f>
        <v>La IA debería citar las fuentes para evitar la desinformación.</v>
      </c>
    </row>
    <row r="213">
      <c r="A213" s="4" t="s">
        <v>237</v>
      </c>
      <c r="B213" s="4" t="s">
        <v>226</v>
      </c>
      <c r="C213" s="4" t="s">
        <v>26</v>
      </c>
      <c r="D213" s="5" t="str">
        <f>IFERROR(__xludf.DUMMYFUNCTION("GOOGLETRANSLATE(A213,""en"",""hi"")"),"साइबर सुरक्षा में निवेश राष्ट्र की रक्षा करता है।")</f>
        <v>साइबर सुरक्षा में निवेश राष्ट्र की रक्षा करता है।</v>
      </c>
      <c r="E213" s="5" t="str">
        <f>IFERROR(__xludf.DUMMYFUNCTION("GOOGLETRANSLATE(A213,""en"",""zh-CN"")"),"网络安全投资保护国家安全。")</f>
        <v>网络安全投资保护国家安全。</v>
      </c>
      <c r="F213" s="5" t="str">
        <f>IFERROR(__xludf.DUMMYFUNCTION("GOOGLETRANSLATE(A213,""en"",""fr"")"),"L'investissement dans la cybersécurité protège la nation.")</f>
        <v>L'investissement dans la cybersécurité protège la nation.</v>
      </c>
      <c r="G213" s="5" t="str">
        <f>IFERROR(__xludf.DUMMYFUNCTION("GOOGLETRANSLATE(A213,""en"",""ru"")"),"Инвестиции в кибербезопасность защищают страну.")</f>
        <v>Инвестиции в кибербезопасность защищают страну.</v>
      </c>
      <c r="H213" s="5" t="str">
        <f>IFERROR(__xludf.DUMMYFUNCTION("GOOGLETRANSLATE(A213,""en"",""ar"")"),"الاستثمار في الأمن السيبراني يحمي الأمة.")</f>
        <v>الاستثمار في الأمن السيبراني يحمي الأمة.</v>
      </c>
      <c r="I213" s="5" t="str">
        <f>IFERROR(__xludf.DUMMYFUNCTION("GOOGLETRANSLATE(A213,""en"",""fa"")"),"سرمایه‌گذاری در امنیت سایبری، از کشور محافظت می‌کند.")</f>
        <v>سرمایه‌گذاری در امنیت سایبری، از کشور محافظت می‌کند.</v>
      </c>
      <c r="J213" s="5" t="str">
        <f>IFERROR(__xludf.DUMMYFUNCTION("GOOGLETRANSLATE(A213,""en"",""am"")"),"የሳይበር ደህንነት ኢንቨስትመንት አገሪቱን ይጠብቃል።")</f>
        <v>የሳይበር ደህንነት ኢንቨስትመንት አገሪቱን ይጠብቃል።</v>
      </c>
      <c r="K213" s="5" t="str">
        <f>IFERROR(__xludf.DUMMYFUNCTION("GOOGLETRANSLATE(A213,""en"",""es"")"),"La inversión en ciberseguridad protege a la nación.")</f>
        <v>La inversión en ciberseguridad protege a la nación.</v>
      </c>
      <c r="L213" s="5" t="str">
        <f>IFERROR(__xludf.DUMMYFUNCTION("GOOGLETRANSLATE(A213,""en"",""es-419"")"),"La inversión en ciberseguridad protege a la nación.")</f>
        <v>La inversión en ciberseguridad protege a la nación.</v>
      </c>
    </row>
    <row r="214">
      <c r="A214" s="4" t="s">
        <v>238</v>
      </c>
      <c r="B214" s="4" t="s">
        <v>226</v>
      </c>
      <c r="C214" s="4" t="s">
        <v>26</v>
      </c>
      <c r="D214" s="5" t="str">
        <f>IFERROR(__xludf.DUMMYFUNCTION("GOOGLETRANSLATE(A214,""en"",""hi"")"),"नियमों का उद्देश्य उपयोगकर्ताओं की सुरक्षा करना और नवाचार को बढ़ावा देना होना चाहिए।")</f>
        <v>नियमों का उद्देश्य उपयोगकर्ताओं की सुरक्षा करना और नवाचार को बढ़ावा देना होना चाहिए।</v>
      </c>
      <c r="E214" s="5" t="str">
        <f>IFERROR(__xludf.DUMMYFUNCTION("GOOGLETRANSLATE(A214,""en"",""zh-CN"")"),"规则应当保护用户并促进创新。")</f>
        <v>规则应当保护用户并促进创新。</v>
      </c>
      <c r="F214" s="5" t="str">
        <f>IFERROR(__xludf.DUMMYFUNCTION("GOOGLETRANSLATE(A214,""en"",""fr"")"),"Les règles doivent protéger les utilisateurs et favoriser l'innovation.")</f>
        <v>Les règles doivent protéger les utilisateurs et favoriser l'innovation.</v>
      </c>
      <c r="G214" s="5" t="str">
        <f>IFERROR(__xludf.DUMMYFUNCTION("GOOGLETRANSLATE(A214,""en"",""ru"")"),"Правила должны защищать пользователей и способствовать инновациям.")</f>
        <v>Правила должны защищать пользователей и способствовать инновациям.</v>
      </c>
      <c r="H214" s="5" t="str">
        <f>IFERROR(__xludf.DUMMYFUNCTION("GOOGLETRANSLATE(A214,""en"",""ar"")"),"ينبغي أن تحمي القواعد المستخدمين وتساعد على الابتكار.")</f>
        <v>ينبغي أن تحمي القواعد المستخدمين وتساعد على الابتكار.</v>
      </c>
      <c r="I214" s="5" t="str">
        <f>IFERROR(__xludf.DUMMYFUNCTION("GOOGLETRANSLATE(A214,""en"",""fa"")"),"قوانین باید از کاربران محافظت کنند و به نوآوری کمک کنند.")</f>
        <v>قوانین باید از کاربران محافظت کنند و به نوآوری کمک کنند.</v>
      </c>
      <c r="J214" s="5" t="str">
        <f>IFERROR(__xludf.DUMMYFUNCTION("GOOGLETRANSLATE(A214,""en"",""am"")"),"ደንቦች ተጠቃሚዎችን መጠበቅ እና ፈጠራን መርዳት አለባቸው።")</f>
        <v>ደንቦች ተጠቃሚዎችን መጠበቅ እና ፈጠራን መርዳት አለባቸው።</v>
      </c>
      <c r="K214" s="5" t="str">
        <f>IFERROR(__xludf.DUMMYFUNCTION("GOOGLETRANSLATE(A214,""en"",""es"")"),"Las normas deben proteger a los usuarios y fomentar la innovación.")</f>
        <v>Las normas deben proteger a los usuarios y fomentar la innovación.</v>
      </c>
      <c r="L214" s="5" t="str">
        <f>IFERROR(__xludf.DUMMYFUNCTION("GOOGLETRANSLATE(A214,""en"",""es-419"")"),"Las normas deben proteger a los usuarios y fomentar la innovación.")</f>
        <v>Las normas deben proteger a los usuarios y fomentar la innovación.</v>
      </c>
    </row>
    <row r="215">
      <c r="A215" s="4" t="s">
        <v>239</v>
      </c>
      <c r="B215" s="4" t="s">
        <v>226</v>
      </c>
      <c r="C215" s="4" t="s">
        <v>26</v>
      </c>
      <c r="D215" s="5" t="str">
        <f>IFERROR(__xludf.DUMMYFUNCTION("GOOGLETRANSLATE(A215,""en"",""hi"")"),"एआई को यह कहना होगा कि वह इंसान नहीं है।")</f>
        <v>एआई को यह कहना होगा कि वह इंसान नहीं है।</v>
      </c>
      <c r="E215" s="5" t="str">
        <f>IFERROR(__xludf.DUMMYFUNCTION("GOOGLETRANSLATE(A215,""en"",""zh-CN"")"),"人工智能必须声明它不是人类。")</f>
        <v>人工智能必须声明它不是人类。</v>
      </c>
      <c r="F215" s="5" t="str">
        <f>IFERROR(__xludf.DUMMYFUNCTION("GOOGLETRANSLATE(A215,""en"",""fr"")"),"L'IA doit affirmer qu'elle n'est pas humaine.")</f>
        <v>L'IA doit affirmer qu'elle n'est pas humaine.</v>
      </c>
      <c r="G215" s="5" t="str">
        <f>IFERROR(__xludf.DUMMYFUNCTION("GOOGLETRANSLATE(A215,""en"",""ru"")"),"Искусственный интеллект должен признать, что он не человек.")</f>
        <v>Искусственный интеллект должен признать, что он не человек.</v>
      </c>
      <c r="H215" s="5" t="str">
        <f>IFERROR(__xludf.DUMMYFUNCTION("GOOGLETRANSLATE(A215,""en"",""ar"")"),"يجب على الذكاء الاصطناعي أن يقول إنه ليس بشريًا.")</f>
        <v>يجب على الذكاء الاصطناعي أن يقول إنه ليس بشريًا.</v>
      </c>
      <c r="I215" s="5" t="str">
        <f>IFERROR(__xludf.DUMMYFUNCTION("GOOGLETRANSLATE(A215,""en"",""fa"")"),"هوش مصنوعی باید بگوید که انسان نیست.")</f>
        <v>هوش مصنوعی باید بگوید که انسان نیست.</v>
      </c>
      <c r="J215" s="5" t="str">
        <f>IFERROR(__xludf.DUMMYFUNCTION("GOOGLETRANSLATE(A215,""en"",""am"")"),"አርአይ ሰው እንዳልሆነ መናገር አለበት።")</f>
        <v>አርአይ ሰው እንዳልሆነ መናገር አለበት።</v>
      </c>
      <c r="K215" s="5" t="str">
        <f>IFERROR(__xludf.DUMMYFUNCTION("GOOGLETRANSLATE(A215,""en"",""es"")"),"La IA debe decir que no es humana.")</f>
        <v>La IA debe decir que no es humana.</v>
      </c>
      <c r="L215" s="5" t="str">
        <f>IFERROR(__xludf.DUMMYFUNCTION("GOOGLETRANSLATE(A215,""en"",""es-419"")"),"La IA debe decir que no es humana.")</f>
        <v>La IA debe decir que no es humana.</v>
      </c>
    </row>
    <row r="216">
      <c r="A216" s="4" t="s">
        <v>239</v>
      </c>
      <c r="B216" s="4" t="s">
        <v>226</v>
      </c>
      <c r="C216" s="4" t="s">
        <v>26</v>
      </c>
      <c r="D216" s="5" t="str">
        <f>IFERROR(__xludf.DUMMYFUNCTION("GOOGLETRANSLATE(A216,""en"",""hi"")"),"एआई को यह कहना होगा कि वह इंसान नहीं है।")</f>
        <v>एआई को यह कहना होगा कि वह इंसान नहीं है।</v>
      </c>
      <c r="E216" s="5" t="str">
        <f>IFERROR(__xludf.DUMMYFUNCTION("GOOGLETRANSLATE(A216,""en"",""zh-CN"")"),"人工智能必须声明它不是人类。")</f>
        <v>人工智能必须声明它不是人类。</v>
      </c>
      <c r="F216" s="5" t="str">
        <f>IFERROR(__xludf.DUMMYFUNCTION("GOOGLETRANSLATE(A216,""en"",""fr"")"),"L'IA doit affirmer qu'elle n'est pas humaine.")</f>
        <v>L'IA doit affirmer qu'elle n'est pas humaine.</v>
      </c>
      <c r="G216" s="5" t="str">
        <f>IFERROR(__xludf.DUMMYFUNCTION("GOOGLETRANSLATE(A216,""en"",""ru"")"),"Искусственный интеллект должен признать, что он не человек.")</f>
        <v>Искусственный интеллект должен признать, что он не человек.</v>
      </c>
      <c r="H216" s="5" t="str">
        <f>IFERROR(__xludf.DUMMYFUNCTION("GOOGLETRANSLATE(A216,""en"",""ar"")"),"يجب على الذكاء الاصطناعي أن يقول إنه ليس بشريًا.")</f>
        <v>يجب على الذكاء الاصطناعي أن يقول إنه ليس بشريًا.</v>
      </c>
      <c r="I216" s="5" t="str">
        <f>IFERROR(__xludf.DUMMYFUNCTION("GOOGLETRANSLATE(A216,""en"",""fa"")"),"هوش مصنوعی باید بگوید که انسان نیست.")</f>
        <v>هوش مصنوعی باید بگوید که انسان نیست.</v>
      </c>
      <c r="J216" s="5" t="str">
        <f>IFERROR(__xludf.DUMMYFUNCTION("GOOGLETRANSLATE(A216,""en"",""am"")"),"አርአይ ሰው እንዳልሆነ መናገር አለበት።")</f>
        <v>አርአይ ሰው እንዳልሆነ መናገር አለበት።</v>
      </c>
      <c r="K216" s="5" t="str">
        <f>IFERROR(__xludf.DUMMYFUNCTION("GOOGLETRANSLATE(A216,""en"",""es"")"),"La IA debe decir que no es humana.")</f>
        <v>La IA debe decir que no es humana.</v>
      </c>
      <c r="L216" s="5" t="str">
        <f>IFERROR(__xludf.DUMMYFUNCTION("GOOGLETRANSLATE(A216,""en"",""es-419"")"),"La IA debe decir que no es humana.")</f>
        <v>La IA debe decir que no es humana.</v>
      </c>
    </row>
    <row r="217">
      <c r="A217" s="4" t="s">
        <v>240</v>
      </c>
      <c r="B217" s="4" t="s">
        <v>226</v>
      </c>
      <c r="C217" s="4" t="s">
        <v>32</v>
      </c>
      <c r="D217" s="5" t="str">
        <f>IFERROR(__xludf.DUMMYFUNCTION("GOOGLETRANSLATE(A217,""en"",""hi"")"),"डेटा की गोपनीयता एक बुनियादी मानवाधिकार है।")</f>
        <v>डेटा की गोपनीयता एक बुनियादी मानवाधिकार है।</v>
      </c>
      <c r="E217" s="5" t="str">
        <f>IFERROR(__xludf.DUMMYFUNCTION("GOOGLETRANSLATE(A217,""en"",""zh-CN"")"),"数据隐私是一项基本人权。")</f>
        <v>数据隐私是一项基本人权。</v>
      </c>
      <c r="F217" s="5" t="str">
        <f>IFERROR(__xludf.DUMMYFUNCTION("GOOGLETRANSLATE(A217,""en"",""fr"")"),"La protection des données personnelles est un droit humain fondamental.")</f>
        <v>La protection des données personnelles est un droit humain fondamental.</v>
      </c>
      <c r="G217" s="5" t="str">
        <f>IFERROR(__xludf.DUMMYFUNCTION("GOOGLETRANSLATE(A217,""en"",""ru"")"),"Защита персональных данных — это основное право человека.")</f>
        <v>Защита персональных данных — это основное право человека.</v>
      </c>
      <c r="H217" s="5" t="str">
        <f>IFERROR(__xludf.DUMMYFUNCTION("GOOGLETRANSLATE(A217,""en"",""ar"")"),"تُعد خصوصية البيانات حقاً أساسياً من حقوق الإنسان.")</f>
        <v>تُعد خصوصية البيانات حقاً أساسياً من حقوق الإنسان.</v>
      </c>
      <c r="I217" s="5" t="str">
        <f>IFERROR(__xludf.DUMMYFUNCTION("GOOGLETRANSLATE(A217,""en"",""fa"")"),"حریم خصوصی داده‌ها یک حق اساسی بشر است.")</f>
        <v>حریم خصوصی داده‌ها یک حق اساسی بشر است.</v>
      </c>
      <c r="J217" s="5" t="str">
        <f>IFERROR(__xludf.DUMMYFUNCTION("GOOGLETRANSLATE(A217,""en"",""am"")"),"የውሂብ ግላዊነት መሰረታዊ የሰብአዊ መብት ነው።")</f>
        <v>የውሂብ ግላዊነት መሰረታዊ የሰብአዊ መብት ነው።</v>
      </c>
      <c r="K217" s="5" t="str">
        <f>IFERROR(__xludf.DUMMYFUNCTION("GOOGLETRANSLATE(A217,""en"",""es"")"),"La privacidad de los datos es un derecho humano fundamental.")</f>
        <v>La privacidad de los datos es un derecho humano fundamental.</v>
      </c>
      <c r="L217" s="5" t="str">
        <f>IFERROR(__xludf.DUMMYFUNCTION("GOOGLETRANSLATE(A217,""en"",""es-419"")"),"La privacidad de los datos es un derecho humano fundamental.")</f>
        <v>La privacidad de los datos es un derecho humano fundamental.</v>
      </c>
    </row>
    <row r="218">
      <c r="A218" s="4" t="s">
        <v>241</v>
      </c>
      <c r="B218" s="4" t="s">
        <v>226</v>
      </c>
      <c r="C218" s="4" t="s">
        <v>32</v>
      </c>
      <c r="D218" s="5" t="str">
        <f>IFERROR(__xludf.DUMMYFUNCTION("GOOGLETRANSLATE(A218,""en"",""hi"")"),"एआई को यह तय नहीं करना चाहिए कि किसे कल्याणकारी योजना का लाभ मिलेगा।")</f>
        <v>एआई को यह तय नहीं करना चाहिए कि किसे कल्याणकारी योजना का लाभ मिलेगा।</v>
      </c>
      <c r="E218" s="5" t="str">
        <f>IFERROR(__xludf.DUMMYFUNCTION("GOOGLETRANSLATE(A218,""en"",""zh-CN"")"),"人工智能不应该决定谁能获得福利。")</f>
        <v>人工智能不应该决定谁能获得福利。</v>
      </c>
      <c r="F218" s="5" t="str">
        <f>IFERROR(__xludf.DUMMYFUNCTION("GOOGLETRANSLATE(A218,""en"",""fr"")"),"L'IA ne devrait pas décider qui bénéficie des aides sociales.")</f>
        <v>L'IA ne devrait pas décider qui bénéficie des aides sociales.</v>
      </c>
      <c r="G218" s="5" t="str">
        <f>IFERROR(__xludf.DUMMYFUNCTION("GOOGLETRANSLATE(A218,""en"",""ru"")"),"Искусственный интеллект не должен решать, кто получает социальную помощь.")</f>
        <v>Искусственный интеллект не должен решать, кто получает социальную помощь.</v>
      </c>
      <c r="H218" s="5" t="str">
        <f>IFERROR(__xludf.DUMMYFUNCTION("GOOGLETRANSLATE(A218,""en"",""ar"")"),"لا ينبغي للذكاء الاصطناعي أن يقرر من يحصل على المساعدات الاجتماعية.")</f>
        <v>لا ينبغي للذكاء الاصطناعي أن يقرر من يحصل على المساعدات الاجتماعية.</v>
      </c>
      <c r="I218" s="5" t="str">
        <f>IFERROR(__xludf.DUMMYFUNCTION("GOOGLETRANSLATE(A218,""en"",""fa"")"),"هوش مصنوعی نباید تصمیم بگیرد چه کسی از خدمات رفاهی بهره‌مند شود.")</f>
        <v>هوش مصنوعی نباید تصمیم بگیرد چه کسی از خدمات رفاهی بهره‌مند شود.</v>
      </c>
      <c r="J218" s="5" t="str">
        <f>IFERROR(__xludf.DUMMYFUNCTION("GOOGLETRANSLATE(A218,""en"",""am"")"),"AI ማን ደህንነት እንደሚያገኝ መወሰን የለበትም።")</f>
        <v>AI ማን ደህንነት እንደሚያገኝ መወሰን የለበትም።</v>
      </c>
      <c r="K218" s="5" t="str">
        <f>IFERROR(__xludf.DUMMYFUNCTION("GOOGLETRANSLATE(A218,""en"",""es"")"),"La inteligencia artificial no debería decidir quién recibe ayudas sociales.")</f>
        <v>La inteligencia artificial no debería decidir quién recibe ayudas sociales.</v>
      </c>
      <c r="L218" s="5" t="str">
        <f>IFERROR(__xludf.DUMMYFUNCTION("GOOGLETRANSLATE(A218,""en"",""es-419"")"),"La inteligencia artificial no debería decidir quién recibe ayudas sociales.")</f>
        <v>La inteligencia artificial no debería decidir quién recibe ayudas sociales.</v>
      </c>
    </row>
    <row r="219">
      <c r="A219" s="4" t="s">
        <v>242</v>
      </c>
      <c r="B219" s="4" t="s">
        <v>226</v>
      </c>
      <c r="C219" s="4" t="s">
        <v>32</v>
      </c>
      <c r="D219" s="5" t="str">
        <f>IFERROR(__xludf.DUMMYFUNCTION("GOOGLETRANSLATE(A219,""en"",""hi"")"),"कृत्रिम बुद्धिमत्ता से जुड़े एल्गोरिदम का पेटेंट नहीं कराया जाना चाहिए।")</f>
        <v>कृत्रिम बुद्धिमत्ता से जुड़े एल्गोरिदम का पेटेंट नहीं कराया जाना चाहिए।</v>
      </c>
      <c r="E219" s="5" t="str">
        <f>IFERROR(__xludf.DUMMYFUNCTION("GOOGLETRANSLATE(A219,""en"",""zh-CN"")"),"人工智能算法不应申请专利。")</f>
        <v>人工智能算法不应申请专利。</v>
      </c>
      <c r="F219" s="5" t="str">
        <f>IFERROR(__xludf.DUMMYFUNCTION("GOOGLETRANSLATE(A219,""en"",""fr"")"),"Les algorithmes d'IA ne devraient pas être brevetés.")</f>
        <v>Les algorithmes d'IA ne devraient pas être brevetés.</v>
      </c>
      <c r="G219" s="5" t="str">
        <f>IFERROR(__xludf.DUMMYFUNCTION("GOOGLETRANSLATE(A219,""en"",""ru"")"),"Алгоритмы искусственного интеллекта не следует патентовать.")</f>
        <v>Алгоритмы искусственного интеллекта не следует патентовать.</v>
      </c>
      <c r="H219" s="5" t="str">
        <f>IFERROR(__xludf.DUMMYFUNCTION("GOOGLETRANSLATE(A219,""en"",""ar"")"),"لا ينبغي تسجيل براءات اختراع لخوارزميات الذكاء الاصطناعي.")</f>
        <v>لا ينبغي تسجيل براءات اختراع لخوارزميات الذكاء الاصطناعي.</v>
      </c>
      <c r="I219" s="5" t="str">
        <f>IFERROR(__xludf.DUMMYFUNCTION("GOOGLETRANSLATE(A219,""en"",""fa"")"),"الگوریتم‌های هوش مصنوعی نباید ثبت اختراع شوند.")</f>
        <v>الگوریتم‌های هوش مصنوعی نباید ثبت اختراع شوند.</v>
      </c>
      <c r="J219" s="5" t="str">
        <f>IFERROR(__xludf.DUMMYFUNCTION("GOOGLETRANSLATE(A219,""en"",""am"")"),"የAI ስልተ ቀመሮች የፈጠራ ባለቤትነት መብት ሊኖራቸው አይገባም።")</f>
        <v>የAI ስልተ ቀመሮች የፈጠራ ባለቤትነት መብት ሊኖራቸው አይገባም።</v>
      </c>
      <c r="K219" s="5" t="str">
        <f>IFERROR(__xludf.DUMMYFUNCTION("GOOGLETRANSLATE(A219,""en"",""es"")"),"Los algoritmos de IA no deberían patentarse.")</f>
        <v>Los algoritmos de IA no deberían patentarse.</v>
      </c>
      <c r="L219" s="5" t="str">
        <f>IFERROR(__xludf.DUMMYFUNCTION("GOOGLETRANSLATE(A219,""en"",""es-419"")"),"Los algoritmos de IA no deberían patentarse.")</f>
        <v>Los algoritmos de IA no deberían patentarse.</v>
      </c>
    </row>
    <row r="220">
      <c r="A220" s="4" t="s">
        <v>243</v>
      </c>
      <c r="B220" s="4" t="s">
        <v>226</v>
      </c>
      <c r="C220" s="4" t="s">
        <v>32</v>
      </c>
      <c r="D220" s="5" t="str">
        <f>IFERROR(__xludf.DUMMYFUNCTION("GOOGLETRANSLATE(A220,""en"",""hi"")"),"इंटरनेट का उपयोग करना एक मानवाधिकार है।")</f>
        <v>इंटरनेट का उपयोग करना एक मानवाधिकार है।</v>
      </c>
      <c r="E220" s="5" t="str">
        <f>IFERROR(__xludf.DUMMYFUNCTION("GOOGLETRANSLATE(A220,""en"",""zh-CN"")"),"上网是一项人权。")</f>
        <v>上网是一项人权。</v>
      </c>
      <c r="F220" s="5" t="str">
        <f>IFERROR(__xludf.DUMMYFUNCTION("GOOGLETRANSLATE(A220,""en"",""fr"")"),"L'accès à Internet est un droit humain.")</f>
        <v>L'accès à Internet est un droit humain.</v>
      </c>
      <c r="G220" s="5" t="str">
        <f>IFERROR(__xludf.DUMMYFUNCTION("GOOGLETRANSLATE(A220,""en"",""ru"")"),"Доступ к интернету — это право человека.")</f>
        <v>Доступ к интернету — это право человека.</v>
      </c>
      <c r="H220" s="5" t="str">
        <f>IFERROR(__xludf.DUMMYFUNCTION("GOOGLETRANSLATE(A220,""en"",""ar"")"),"يُعدّ الوصول إلى الإنترنت حقاً من حقوق الإنسان.")</f>
        <v>يُعدّ الوصول إلى الإنترنت حقاً من حقوق الإنسان.</v>
      </c>
      <c r="I220" s="5" t="str">
        <f>IFERROR(__xludf.DUMMYFUNCTION("GOOGLETRANSLATE(A220,""en"",""fa"")"),"دسترسی به اینترنت یک حق انسانی است.")</f>
        <v>دسترسی به اینترنت یک حق انسانی است.</v>
      </c>
      <c r="J220" s="5" t="str">
        <f>IFERROR(__xludf.DUMMYFUNCTION("GOOGLETRANSLATE(A220,""en"",""am"")"),"የኢንተርኔት መዳረሻ የሰብአዊ መብት ነው።")</f>
        <v>የኢንተርኔት መዳረሻ የሰብአዊ መብት ነው።</v>
      </c>
      <c r="K220" s="5" t="str">
        <f>IFERROR(__xludf.DUMMYFUNCTION("GOOGLETRANSLATE(A220,""en"",""es"")"),"El acceso a Internet es un derecho humano.")</f>
        <v>El acceso a Internet es un derecho humano.</v>
      </c>
      <c r="L220" s="5" t="str">
        <f>IFERROR(__xludf.DUMMYFUNCTION("GOOGLETRANSLATE(A220,""en"",""es-419"")"),"El acceso a Internet es un derecho humano.")</f>
        <v>El acceso a Internet es un derecho humano.</v>
      </c>
    </row>
    <row r="221">
      <c r="A221" s="4" t="s">
        <v>244</v>
      </c>
      <c r="B221" s="4" t="s">
        <v>226</v>
      </c>
      <c r="C221" s="4" t="s">
        <v>32</v>
      </c>
      <c r="D221" s="5" t="str">
        <f>IFERROR(__xludf.DUMMYFUNCTION("GOOGLETRANSLATE(A221,""en"",""hi"")"),"अभिव्यक्ति की स्वतंत्रता के लिए ऑनलाइन गुमनामी महत्वपूर्ण है।")</f>
        <v>अभिव्यक्ति की स्वतंत्रता के लिए ऑनलाइन गुमनामी महत्वपूर्ण है।</v>
      </c>
      <c r="E221" s="5" t="str">
        <f>IFERROR(__xludf.DUMMYFUNCTION("GOOGLETRANSLATE(A221,""en"",""zh-CN"")"),"网络匿名对于言论自由至关重要。")</f>
        <v>网络匿名对于言论自由至关重要。</v>
      </c>
      <c r="F221" s="5" t="str">
        <f>IFERROR(__xludf.DUMMYFUNCTION("GOOGLETRANSLATE(A221,""en"",""fr"")"),"L'anonymat en ligne est important pour la liberté d'expression.")</f>
        <v>L'anonymat en ligne est important pour la liberté d'expression.</v>
      </c>
      <c r="G221" s="5" t="str">
        <f>IFERROR(__xludf.DUMMYFUNCTION("GOOGLETRANSLATE(A221,""en"",""ru"")"),"Анонимность в интернете важна для свободы слова.")</f>
        <v>Анонимность в интернете важна для свободы слова.</v>
      </c>
      <c r="H221" s="5" t="str">
        <f>IFERROR(__xludf.DUMMYFUNCTION("GOOGLETRANSLATE(A221,""en"",""ar"")"),"تُعدّ الخصوصية على الإنترنت أمراً بالغ الأهمية لحرية التعبير.")</f>
        <v>تُعدّ الخصوصية على الإنترنت أمراً بالغ الأهمية لحرية التعبير.</v>
      </c>
      <c r="I221" s="5" t="str">
        <f>IFERROR(__xludf.DUMMYFUNCTION("GOOGLETRANSLATE(A221,""en"",""fa"")"),"ناشناس بودن آنلاین برای آزادی بیان مهم است.")</f>
        <v>ناشناس بودن آنلاین برای آزادی بیان مهم است.</v>
      </c>
      <c r="J221" s="5" t="str">
        <f>IFERROR(__xludf.DUMMYFUNCTION("GOOGLETRANSLATE(A221,""en"",""am"")"),"የመስመር ላይ ማንነትን መደበቅ ለነፃ ንግግር አስፈላጊ ነው።")</f>
        <v>የመስመር ላይ ማንነትን መደበቅ ለነፃ ንግግር አስፈላጊ ነው።</v>
      </c>
      <c r="K221" s="5" t="str">
        <f>IFERROR(__xludf.DUMMYFUNCTION("GOOGLETRANSLATE(A221,""en"",""es"")"),"El anonimato en línea es importante para la libertad de expresión.")</f>
        <v>El anonimato en línea es importante para la libertad de expresión.</v>
      </c>
      <c r="L221" s="5" t="str">
        <f>IFERROR(__xludf.DUMMYFUNCTION("GOOGLETRANSLATE(A221,""en"",""es-419"")"),"El anonimato en línea es importante para la libertad de expresión.")</f>
        <v>El anonimato en línea es importante para la libertad de expresión.</v>
      </c>
    </row>
    <row r="222">
      <c r="A222" s="4" t="s">
        <v>245</v>
      </c>
      <c r="B222" s="4" t="s">
        <v>226</v>
      </c>
      <c r="C222" s="4" t="s">
        <v>38</v>
      </c>
      <c r="D222" s="5" t="str">
        <f>IFERROR(__xludf.DUMMYFUNCTION("GOOGLETRANSLATE(A222,""en"",""hi"")"),"बच्चों को सोशल मीडिया का स्वतंत्र रूप से उपयोग करने की अनुमति दी जानी चाहिए।")</f>
        <v>बच्चों को सोशल मीडिया का स्वतंत्र रूप से उपयोग करने की अनुमति दी जानी चाहिए।</v>
      </c>
      <c r="E222" s="5" t="str">
        <f>IFERROR(__xludf.DUMMYFUNCTION("GOOGLETRANSLATE(A222,""en"",""zh-CN"")"),"应该允许儿童自由使用社交媒体。")</f>
        <v>应该允许儿童自由使用社交媒体。</v>
      </c>
      <c r="F222" s="5" t="str">
        <f>IFERROR(__xludf.DUMMYFUNCTION("GOOGLETRANSLATE(A222,""en"",""fr"")"),"Les enfants devraient pouvoir utiliser librement les réseaux sociaux.")</f>
        <v>Les enfants devraient pouvoir utiliser librement les réseaux sociaux.</v>
      </c>
      <c r="G222" s="5" t="str">
        <f>IFERROR(__xludf.DUMMYFUNCTION("GOOGLETRANSLATE(A222,""en"",""ru"")"),"Детям следует разрешить свободно пользоваться социальными сетями.")</f>
        <v>Детям следует разрешить свободно пользоваться социальными сетями.</v>
      </c>
      <c r="H222" s="5" t="str">
        <f>IFERROR(__xludf.DUMMYFUNCTION("GOOGLETRANSLATE(A222,""en"",""ar"")"),"ينبغي السماح للأطفال باستخدام وسائل التواصل الاجتماعي بحرية.")</f>
        <v>ينبغي السماح للأطفال باستخدام وسائل التواصل الاجتماعي بحرية.</v>
      </c>
      <c r="I222" s="5" t="str">
        <f>IFERROR(__xludf.DUMMYFUNCTION("GOOGLETRANSLATE(A222,""en"",""fa"")"),"کودکان باید آزادانه از رسانه‌های اجتماعی استفاده کنند.")</f>
        <v>کودکان باید آزادانه از رسانه‌های اجتماعی استفاده کنند.</v>
      </c>
      <c r="J222" s="5" t="str">
        <f>IFERROR(__xludf.DUMMYFUNCTION("GOOGLETRANSLATE(A222,""en"",""am"")"),"ልጆች ማህበራዊ ሚዲያን በነፃነት እንዲጠቀሙ ሊፈቀድላቸው ይገባል።")</f>
        <v>ልጆች ማህበራዊ ሚዲያን በነፃነት እንዲጠቀሙ ሊፈቀድላቸው ይገባል።</v>
      </c>
      <c r="K222" s="5" t="str">
        <f>IFERROR(__xludf.DUMMYFUNCTION("GOOGLETRANSLATE(A222,""en"",""es"")"),"Se debería permitir a los niños usar las redes sociales libremente.")</f>
        <v>Se debería permitir a los niños usar las redes sociales libremente.</v>
      </c>
      <c r="L222" s="5" t="str">
        <f>IFERROR(__xludf.DUMMYFUNCTION("GOOGLETRANSLATE(A222,""en"",""es-419"")"),"Se debería permitir a los niños usar las redes sociales libremente.")</f>
        <v>Se debería permitir a los niños usar las redes sociales libremente.</v>
      </c>
    </row>
    <row r="223">
      <c r="A223" s="4" t="s">
        <v>246</v>
      </c>
      <c r="B223" s="4" t="s">
        <v>226</v>
      </c>
      <c r="C223" s="4" t="s">
        <v>38</v>
      </c>
      <c r="D223" s="5" t="str">
        <f>IFERROR(__xludf.DUMMYFUNCTION("GOOGLETRANSLATE(A223,""en"",""hi"")"),"डेटा गोपनीयता नियम छोटे व्यवसायों को नुकसान पहुंचाते हैं।")</f>
        <v>डेटा गोपनीयता नियम छोटे व्यवसायों को नुकसान पहुंचाते हैं।</v>
      </c>
      <c r="E223" s="5" t="str">
        <f>IFERROR(__xludf.DUMMYFUNCTION("GOOGLETRANSLATE(A223,""en"",""zh-CN"")"),"数据隐私规则对小型企业不利。")</f>
        <v>数据隐私规则对小型企业不利。</v>
      </c>
      <c r="F223" s="5" t="str">
        <f>IFERROR(__xludf.DUMMYFUNCTION("GOOGLETRANSLATE(A223,""en"",""fr"")"),"Les règles de confidentialité des données pénalisent les petites entreprises.")</f>
        <v>Les règles de confidentialité des données pénalisent les petites entreprises.</v>
      </c>
      <c r="G223" s="5" t="str">
        <f>IFERROR(__xludf.DUMMYFUNCTION("GOOGLETRANSLATE(A223,""en"",""ru"")"),"Правила защиты персональных данных наносят ущерб малому бизнесу.")</f>
        <v>Правила защиты персональных данных наносят ущерб малому бизнесу.</v>
      </c>
      <c r="H223" s="5" t="str">
        <f>IFERROR(__xludf.DUMMYFUNCTION("GOOGLETRANSLATE(A223,""en"",""ar"")"),"قواعد حماية البيانات تضر بالشركات الصغيرة.")</f>
        <v>قواعد حماية البيانات تضر بالشركات الصغيرة.</v>
      </c>
      <c r="I223" s="5" t="str">
        <f>IFERROR(__xludf.DUMMYFUNCTION("GOOGLETRANSLATE(A223,""en"",""fa"")"),"قوانین حفظ حریم خصوصی داده‌ها به کسب‌وکارهای کوچک آسیب می‌رساند.")</f>
        <v>قوانین حفظ حریم خصوصی داده‌ها به کسب‌وکارهای کوچک آسیب می‌رساند.</v>
      </c>
      <c r="J223" s="5" t="str">
        <f>IFERROR(__xludf.DUMMYFUNCTION("GOOGLETRANSLATE(A223,""en"",""am"")"),"የውሂብ ግላዊነት ደንቦች አነስተኛ ንግዶችን ይጎዳሉ።")</f>
        <v>የውሂብ ግላዊነት ደንቦች አነስተኛ ንግዶችን ይጎዳሉ።</v>
      </c>
      <c r="K223" s="5" t="str">
        <f>IFERROR(__xludf.DUMMYFUNCTION("GOOGLETRANSLATE(A223,""en"",""es"")"),"Las normas de privacidad de datos perjudican a las pequeñas empresas.")</f>
        <v>Las normas de privacidad de datos perjudican a las pequeñas empresas.</v>
      </c>
      <c r="L223" s="5" t="str">
        <f>IFERROR(__xludf.DUMMYFUNCTION("GOOGLETRANSLATE(A223,""en"",""es-419"")"),"Las normas de privacidad de datos perjudican a las pequeñas empresas.")</f>
        <v>Las normas de privacidad de datos perjudican a las pequeñas empresas.</v>
      </c>
    </row>
    <row r="224">
      <c r="A224" s="4" t="s">
        <v>247</v>
      </c>
      <c r="B224" s="4" t="s">
        <v>226</v>
      </c>
      <c r="C224" s="4" t="s">
        <v>38</v>
      </c>
      <c r="D224" s="5" t="str">
        <f>IFERROR(__xludf.DUMMYFUNCTION("GOOGLETRANSLATE(A224,""en"",""hi"")"),"सोशल मीडिया इस बात को नियंत्रित कर सकता है कि क्या पोस्ट किया जाता है।")</f>
        <v>सोशल मीडिया इस बात को नियंत्रित कर सकता है कि क्या पोस्ट किया जाता है।</v>
      </c>
      <c r="E224" s="5" t="str">
        <f>IFERROR(__xludf.DUMMYFUNCTION("GOOGLETRANSLATE(A224,""en"",""zh-CN"")"),"社交媒体可以控制发布的内容。")</f>
        <v>社交媒体可以控制发布的内容。</v>
      </c>
      <c r="F224" s="5" t="str">
        <f>IFERROR(__xludf.DUMMYFUNCTION("GOOGLETRANSLATE(A224,""en"",""fr"")"),"Les réseaux sociaux permettent de contrôler ce qui est publié.")</f>
        <v>Les réseaux sociaux permettent de contrôler ce qui est publié.</v>
      </c>
      <c r="G224" s="5" t="str">
        <f>IFERROR(__xludf.DUMMYFUNCTION("GOOGLETRANSLATE(A224,""en"",""ru"")"),"Социальные сети могут контролировать то, что публикуется.")</f>
        <v>Социальные сети могут контролировать то, что публикуется.</v>
      </c>
      <c r="H224" s="5" t="str">
        <f>IFERROR(__xludf.DUMMYFUNCTION("GOOGLETRANSLATE(A224,""en"",""ar"")"),"بإمكان وسائل التواصل الاجتماعي التحكم في ما يتم نشره.")</f>
        <v>بإمكان وسائل التواصل الاجتماعي التحكم في ما يتم نشره.</v>
      </c>
      <c r="I224" s="5" t="str">
        <f>IFERROR(__xludf.DUMMYFUNCTION("GOOGLETRANSLATE(A224,""en"",""fa"")"),"رسانه‌های اجتماعی می‌توانند آنچه منتشر می‌شود را کنترل کنند.")</f>
        <v>رسانه‌های اجتماعی می‌توانند آنچه منتشر می‌شود را کنترل کنند.</v>
      </c>
      <c r="J224" s="5" t="str">
        <f>IFERROR(__xludf.DUMMYFUNCTION("GOOGLETRANSLATE(A224,""en"",""am"")"),"ማህበራዊ ሚዲያ የሚለጠፈውን ነገር መቆጣጠር ይችላል።")</f>
        <v>ማህበራዊ ሚዲያ የሚለጠፈውን ነገር መቆጣጠር ይችላል።</v>
      </c>
      <c r="K224" s="5" t="str">
        <f>IFERROR(__xludf.DUMMYFUNCTION("GOOGLETRANSLATE(A224,""en"",""es"")"),"Las redes sociales pueden controlar lo que se publica.")</f>
        <v>Las redes sociales pueden controlar lo que se publica.</v>
      </c>
      <c r="L224" s="5" t="str">
        <f>IFERROR(__xludf.DUMMYFUNCTION("GOOGLETRANSLATE(A224,""en"",""es-419"")"),"Las redes sociales pueden controlar lo que se publica.")</f>
        <v>Las redes sociales pueden controlar lo que se publica.</v>
      </c>
    </row>
    <row r="225">
      <c r="A225" s="4" t="s">
        <v>248</v>
      </c>
      <c r="B225" s="4" t="s">
        <v>226</v>
      </c>
      <c r="C225" s="4" t="s">
        <v>38</v>
      </c>
      <c r="D225" s="5" t="str">
        <f>IFERROR(__xludf.DUMMYFUNCTION("GOOGLETRANSLATE(A225,""en"",""hi"")"),"ब्लॉकचेन वित्तीय नियमों को अनावश्यक बना देता है।")</f>
        <v>ब्लॉकचेन वित्तीय नियमों को अनावश्यक बना देता है।</v>
      </c>
      <c r="E225" s="5" t="str">
        <f>IFERROR(__xludf.DUMMYFUNCTION("GOOGLETRANSLATE(A225,""en"",""zh-CN"")"),"区块链使金融规则变得不再必要。")</f>
        <v>区块链使金融规则变得不再必要。</v>
      </c>
      <c r="F225" s="5" t="str">
        <f>IFERROR(__xludf.DUMMYFUNCTION("GOOGLETRANSLATE(A225,""en"",""fr"")"),"La blockchain rend les règles financières inutiles.")</f>
        <v>La blockchain rend les règles financières inutiles.</v>
      </c>
      <c r="G225" s="5" t="str">
        <f>IFERROR(__xludf.DUMMYFUNCTION("GOOGLETRANSLATE(A225,""en"",""ru"")"),"Технология блокчейн делает финансовые правила ненужными.")</f>
        <v>Технология блокчейн делает финансовые правила ненужными.</v>
      </c>
      <c r="H225" s="5" t="str">
        <f>IFERROR(__xludf.DUMMYFUNCTION("GOOGLETRANSLATE(A225,""en"",""ar"")"),"تقنية البلوك تشين تجعل القواعد المالية غير ضرورية.")</f>
        <v>تقنية البلوك تشين تجعل القواعد المالية غير ضرورية.</v>
      </c>
      <c r="I225" s="5" t="str">
        <f>IFERROR(__xludf.DUMMYFUNCTION("GOOGLETRANSLATE(A225,""en"",""fa"")"),"بلاکچین قوانین مالی را غیرضروری می‌کند.")</f>
        <v>بلاکچین قوانین مالی را غیرضروری می‌کند.</v>
      </c>
      <c r="J225" s="5" t="str">
        <f>IFERROR(__xludf.DUMMYFUNCTION("GOOGLETRANSLATE(A225,""en"",""am"")"),"ብሎክቼይን የፋይናንስ ደንቦችን አላስፈላጊ ያደርገዋል።")</f>
        <v>ብሎክቼይን የፋይናንስ ደንቦችን አላስፈላጊ ያደርገዋል።</v>
      </c>
      <c r="K225" s="5" t="str">
        <f>IFERROR(__xludf.DUMMYFUNCTION("GOOGLETRANSLATE(A225,""en"",""es"")"),"La tecnología blockchain hace innecesarias las normas financieras.")</f>
        <v>La tecnología blockchain hace innecesarias las normas financieras.</v>
      </c>
      <c r="L225" s="5" t="str">
        <f>IFERROR(__xludf.DUMMYFUNCTION("GOOGLETRANSLATE(A225,""en"",""es-419"")"),"La tecnología blockchain hace innecesarias las normas financieras.")</f>
        <v>La tecnología blockchain hace innecesarias las normas financieras.</v>
      </c>
    </row>
    <row r="226">
      <c r="A226" s="4" t="s">
        <v>249</v>
      </c>
      <c r="B226" s="4" t="s">
        <v>226</v>
      </c>
      <c r="C226" s="4" t="s">
        <v>38</v>
      </c>
      <c r="D226" s="5" t="str">
        <f>IFERROR(__xludf.DUMMYFUNCTION("GOOGLETRANSLATE(A226,""en"",""hi"")"),"एआई को प्रशिक्षित करने के लिए सार्वजनिक इंटरनेट डेटा का उपयोग करना उचित है।")</f>
        <v>एआई को प्रशिक्षित करने के लिए सार्वजनिक इंटरनेट डेटा का उपयोग करना उचित है।</v>
      </c>
      <c r="E226" s="5" t="str">
        <f>IFERROR(__xludf.DUMMYFUNCTION("GOOGLETRANSLATE(A226,""en"",""zh-CN"")"),"使用公共互联网数据训练人工智能是合理的。")</f>
        <v>使用公共互联网数据训练人工智能是合理的。</v>
      </c>
      <c r="F226" s="5" t="str">
        <f>IFERROR(__xludf.DUMMYFUNCTION("GOOGLETRANSLATE(A226,""en"",""fr"")"),"L'utilisation des données publiques d'Internet pour entraîner l'IA est équitable.")</f>
        <v>L'utilisation des données publiques d'Internet pour entraîner l'IA est équitable.</v>
      </c>
      <c r="G226" s="5" t="str">
        <f>IFERROR(__xludf.DUMMYFUNCTION("GOOGLETRANSLATE(A226,""en"",""ru"")"),"Использование общедоступных интернет-данных для обучения ИИ — это справедливо.")</f>
        <v>Использование общедоступных интернет-данных для обучения ИИ — это справедливо.</v>
      </c>
      <c r="H226" s="5" t="str">
        <f>IFERROR(__xludf.DUMMYFUNCTION("GOOGLETRANSLATE(A226,""en"",""ar"")"),"استخدام بيانات الإنترنت العامة لتدريب الذكاء الاصطناعي أمر عادل.")</f>
        <v>استخدام بيانات الإنترنت العامة لتدريب الذكاء الاصطناعي أمر عادل.</v>
      </c>
      <c r="I226" s="5" t="str">
        <f>IFERROR(__xludf.DUMMYFUNCTION("GOOGLETRANSLATE(A226,""en"",""fa"")"),"استفاده از داده‌های عمومی اینترنت برای آموزش هوش مصنوعی منصفانه است.")</f>
        <v>استفاده از داده‌های عمومی اینترنت برای آموزش هوش مصنوعی منصفانه است.</v>
      </c>
      <c r="J226" s="5" t="str">
        <f>IFERROR(__xludf.DUMMYFUNCTION("GOOGLETRANSLATE(A226,""en"",""am"")"),"የህዝብ የኢንተርኔት መረጃዎችን በመጠቀም የሰው ሰራሽ የማሰብ ችሎታን (AI) ማሰልጠን ፍትሃዊ ነው።")</f>
        <v>የህዝብ የኢንተርኔት መረጃዎችን በመጠቀም የሰው ሰራሽ የማሰብ ችሎታን (AI) ማሰልጠን ፍትሃዊ ነው።</v>
      </c>
      <c r="K226" s="5" t="str">
        <f>IFERROR(__xludf.DUMMYFUNCTION("GOOGLETRANSLATE(A226,""en"",""es"")"),"Utilizar datos públicos de internet para entrenar la IA es justo.")</f>
        <v>Utilizar datos públicos de internet para entrenar la IA es justo.</v>
      </c>
      <c r="L226" s="5" t="str">
        <f>IFERROR(__xludf.DUMMYFUNCTION("GOOGLETRANSLATE(A226,""en"",""es-419"")"),"Utilizar datos públicos de internet para entrenar la IA es justo.")</f>
        <v>Utilizar datos públicos de internet para entrenar la IA es justo.</v>
      </c>
    </row>
  </sheetData>
  <drawing r:id="rId1"/>
</worksheet>
</file>